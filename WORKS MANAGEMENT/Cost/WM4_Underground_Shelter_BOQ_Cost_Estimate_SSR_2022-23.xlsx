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BOQ priced" sheetId="2" state="visible" r:id="rId2"/>
    <sheet name="Recapitulation" sheetId="3" state="visible" r:id="rId3"/>
    <sheet name="Rate derivation" sheetId="4" state="visible" r:id="rId4"/>
    <sheet name="SSR rate library" sheetId="5" state="visible" r:id="rId5"/>
    <sheet name="Not priced" sheetId="6" state="visible" r:id="rId6"/>
    <sheet name="Included not payable" sheetId="7" state="visible" r:id="rId7"/>
    <sheet name="Owner bill vs SSR" sheetId="8" state="visible" r:id="rId8"/>
    <sheet name="SSR general rates" sheetId="9" state="visible" r:id="rId9"/>
    <sheet name="Open items" sheetId="10" state="visible" r:id="rId10"/>
    <sheet name="Verification" sheetId="11" state="visible" r:id="rId11"/>
  </sheets>
  <definedNames>
    <definedName name="_xlnm.Print_Titles" localSheetId="1">'BOQ priced'!$3:$3</definedName>
  </definedNames>
  <calcPr calcId="124519" fullCalcOnLoad="1"/>
</workbook>
</file>

<file path=xl/styles.xml><?xml version="1.0" encoding="utf-8"?>
<styleSheet xmlns="http://schemas.openxmlformats.org/spreadsheetml/2006/main">
  <numFmts count="3">
    <numFmt numFmtId="164" formatCode="#,##0.000;;&quot;-&quot;"/>
    <numFmt numFmtId="165" formatCode="#,##0.00;(#,##0.00);&quot;-&quot;"/>
    <numFmt numFmtId="166" formatCode="#,##0;(#,##0);&quot;-&quot;"/>
  </numFmts>
  <fonts count="10">
    <font>
      <name val="Calibri"/>
      <family val="2"/>
      <color theme="1"/>
      <sz val="11"/>
      <scheme val="minor"/>
    </font>
    <font>
      <name val="Arial"/>
      <b val="1"/>
      <color rgb="00FFFFFF"/>
      <sz val="14"/>
    </font>
    <font>
      <name val="Arial"/>
      <color rgb="00555555"/>
      <sz val="8"/>
    </font>
    <font>
      <name val="Arial"/>
      <b val="1"/>
      <color rgb="001F3864"/>
      <sz val="10"/>
    </font>
    <font>
      <name val="Arial"/>
      <sz val="9"/>
    </font>
    <font>
      <name val="Arial"/>
      <b val="1"/>
      <sz val="9"/>
    </font>
    <font>
      <name val="Arial"/>
      <b val="1"/>
      <color rgb="00FFFFFF"/>
      <sz val="11"/>
    </font>
    <font>
      <name val="Arial"/>
      <color rgb="000000FF"/>
      <sz val="9"/>
    </font>
    <font>
      <name val="Arial"/>
      <b val="1"/>
      <sz val="11"/>
    </font>
    <font>
      <name val="Arial"/>
      <b val="1"/>
      <color rgb="001E7B34"/>
      <sz val="9"/>
    </font>
  </fonts>
  <fills count="10">
    <fill>
      <patternFill/>
    </fill>
    <fill>
      <patternFill patternType="gray125"/>
    </fill>
    <fill>
      <patternFill patternType="solid">
        <fgColor rgb="001F3864"/>
      </patternFill>
    </fill>
    <fill>
      <patternFill patternType="solid">
        <fgColor rgb="00D6E4F0"/>
      </patternFill>
    </fill>
    <fill>
      <patternFill patternType="solid">
        <fgColor rgb="00FFF7E0"/>
      </patternFill>
    </fill>
    <fill>
      <patternFill patternType="solid">
        <fgColor rgb="00EDEDED"/>
      </patternFill>
    </fill>
    <fill>
      <patternFill patternType="solid">
        <fgColor rgb="00FCE4E4"/>
      </patternFill>
    </fill>
    <fill>
      <patternFill patternType="solid">
        <fgColor rgb="00FFF2CC"/>
      </patternFill>
    </fill>
    <fill>
      <patternFill patternType="solid">
        <fgColor rgb="002E5C8A"/>
      </patternFill>
    </fill>
    <fill>
      <patternFill patternType="solid">
        <fgColor rgb="00FFFF00"/>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62">
    <xf numFmtId="0" fontId="0" fillId="0" borderId="0" pivotButton="0" quotePrefix="0" xfId="0"/>
    <xf numFmtId="0" fontId="1" fillId="2" borderId="0" applyAlignment="1" pivotButton="0" quotePrefix="0" xfId="0">
      <alignment vertical="center" indent="1"/>
    </xf>
    <xf numFmtId="0" fontId="2" fillId="0" borderId="0" applyAlignment="1" pivotButton="0" quotePrefix="0" xfId="0">
      <alignment vertical="center" wrapText="1" indent="1"/>
    </xf>
    <xf numFmtId="0" fontId="3" fillId="3" borderId="0" applyAlignment="1" pivotButton="0" quotePrefix="0" xfId="0">
      <alignment vertical="center" indent="1"/>
    </xf>
    <xf numFmtId="0" fontId="4" fillId="0" borderId="0" applyAlignment="1" pivotButton="0" quotePrefix="0" xfId="0">
      <alignment vertical="top"/>
    </xf>
    <xf numFmtId="0" fontId="4" fillId="0" borderId="0" applyAlignment="1" pivotButton="0" quotePrefix="0" xfId="0">
      <alignment vertical="top" wrapText="1"/>
    </xf>
    <xf numFmtId="0" fontId="4" fillId="4" borderId="0" applyAlignment="1" pivotButton="0" quotePrefix="0" xfId="0">
      <alignment vertical="top"/>
    </xf>
    <xf numFmtId="0" fontId="4" fillId="4" borderId="0" applyAlignment="1" pivotButton="0" quotePrefix="0" xfId="0">
      <alignment vertical="top" wrapText="1"/>
    </xf>
    <xf numFmtId="0" fontId="4" fillId="5" borderId="0" applyAlignment="1" pivotButton="0" quotePrefix="0" xfId="0">
      <alignment vertical="top"/>
    </xf>
    <xf numFmtId="0" fontId="4" fillId="5" borderId="0" applyAlignment="1" pivotButton="0" quotePrefix="0" xfId="0">
      <alignment vertical="top" wrapText="1"/>
    </xf>
    <xf numFmtId="0" fontId="4" fillId="6" borderId="0" applyAlignment="1" pivotButton="0" quotePrefix="0" xfId="0">
      <alignment vertical="top"/>
    </xf>
    <xf numFmtId="0" fontId="4" fillId="6" borderId="0" applyAlignment="1" pivotButton="0" quotePrefix="0" xfId="0">
      <alignment vertical="top" wrapText="1"/>
    </xf>
    <xf numFmtId="0" fontId="5" fillId="7" borderId="0" applyAlignment="1" pivotButton="0" quotePrefix="0" xfId="0">
      <alignment vertical="top"/>
    </xf>
    <xf numFmtId="0" fontId="5" fillId="7" borderId="0" applyAlignment="1" pivotButton="0" quotePrefix="0" xfId="0">
      <alignment vertical="top" wrapText="1"/>
    </xf>
    <xf numFmtId="0" fontId="6" fillId="8" borderId="1" applyAlignment="1" pivotButton="0" quotePrefix="0" xfId="0">
      <alignment horizontal="center" vertical="center" wrapText="1"/>
    </xf>
    <xf numFmtId="0" fontId="5" fillId="0" borderId="1" pivotButton="0" quotePrefix="0" xfId="0"/>
    <xf numFmtId="0" fontId="4" fillId="0" borderId="1" pivotButton="0" quotePrefix="0" xfId="0"/>
    <xf numFmtId="164" fontId="4" fillId="0" borderId="1" pivotButton="0" quotePrefix="0" xfId="0"/>
    <xf numFmtId="165" fontId="7" fillId="0" borderId="1" pivotButton="0" quotePrefix="0" xfId="0"/>
    <xf numFmtId="165" fontId="5" fillId="0" borderId="1" pivotButton="0" quotePrefix="0" xfId="0"/>
    <xf numFmtId="0" fontId="2" fillId="0" borderId="1" applyAlignment="1" pivotButton="0" quotePrefix="0" xfId="0">
      <alignment vertical="top" wrapText="1"/>
    </xf>
    <xf numFmtId="0" fontId="5" fillId="5" borderId="1" pivotButton="0" quotePrefix="0" xfId="0"/>
    <xf numFmtId="0" fontId="4" fillId="5" borderId="1" pivotButton="0" quotePrefix="0" xfId="0"/>
    <xf numFmtId="164" fontId="4" fillId="5" borderId="1" pivotButton="0" quotePrefix="0" xfId="0"/>
    <xf numFmtId="165" fontId="4" fillId="5" borderId="1" pivotButton="0" quotePrefix="0" xfId="0"/>
    <xf numFmtId="165" fontId="5" fillId="5" borderId="1" pivotButton="0" quotePrefix="0" xfId="0"/>
    <xf numFmtId="0" fontId="2" fillId="5" borderId="1" applyAlignment="1" pivotButton="0" quotePrefix="0" xfId="0">
      <alignment vertical="top" wrapText="1"/>
    </xf>
    <xf numFmtId="165" fontId="4" fillId="0" borderId="1" pivotButton="0" quotePrefix="0" xfId="0"/>
    <xf numFmtId="0" fontId="5" fillId="4" borderId="1" pivotButton="0" quotePrefix="0" xfId="0"/>
    <xf numFmtId="0" fontId="4" fillId="4" borderId="1" pivotButton="0" quotePrefix="0" xfId="0"/>
    <xf numFmtId="164" fontId="4" fillId="4" borderId="1" pivotButton="0" quotePrefix="0" xfId="0"/>
    <xf numFmtId="165" fontId="4" fillId="4" borderId="1" pivotButton="0" quotePrefix="0" xfId="0"/>
    <xf numFmtId="165" fontId="5" fillId="4" borderId="1" pivotButton="0" quotePrefix="0" xfId="0"/>
    <xf numFmtId="0" fontId="2" fillId="4" borderId="1" applyAlignment="1" pivotButton="0" quotePrefix="0" xfId="0">
      <alignment vertical="top" wrapText="1"/>
    </xf>
    <xf numFmtId="165" fontId="7" fillId="4" borderId="1" pivotButton="0" quotePrefix="0" xfId="0"/>
    <xf numFmtId="0" fontId="5" fillId="6" borderId="1" pivotButton="0" quotePrefix="0" xfId="0"/>
    <xf numFmtId="0" fontId="4" fillId="6" borderId="1" pivotButton="0" quotePrefix="0" xfId="0"/>
    <xf numFmtId="164" fontId="4" fillId="6" borderId="1" pivotButton="0" quotePrefix="0" xfId="0"/>
    <xf numFmtId="165" fontId="7" fillId="6" borderId="1" pivotButton="0" quotePrefix="0" xfId="0"/>
    <xf numFmtId="165" fontId="5" fillId="6" borderId="1" pivotButton="0" quotePrefix="0" xfId="0"/>
    <xf numFmtId="0" fontId="2" fillId="6" borderId="1" applyAlignment="1" pivotButton="0" quotePrefix="0" xfId="0">
      <alignment vertical="top" wrapText="1"/>
    </xf>
    <xf numFmtId="0" fontId="0" fillId="7" borderId="1" pivotButton="0" quotePrefix="0" xfId="0"/>
    <xf numFmtId="0" fontId="5" fillId="7" borderId="1" pivotButton="0" quotePrefix="0" xfId="0"/>
    <xf numFmtId="165" fontId="5" fillId="7" borderId="1" pivotButton="0" quotePrefix="0" xfId="0"/>
    <xf numFmtId="165" fontId="4" fillId="6" borderId="1" pivotButton="0" quotePrefix="0" xfId="0"/>
    <xf numFmtId="0" fontId="8" fillId="7" borderId="1" pivotButton="0" quotePrefix="0" xfId="0"/>
    <xf numFmtId="165" fontId="8" fillId="7" borderId="1" pivotButton="0" quotePrefix="0" xfId="0"/>
    <xf numFmtId="0" fontId="4" fillId="7" borderId="1" pivotButton="0" quotePrefix="0" xfId="0"/>
    <xf numFmtId="10" fontId="7" fillId="7" borderId="1" pivotButton="0" quotePrefix="0" xfId="0"/>
    <xf numFmtId="0" fontId="2" fillId="7" borderId="1" applyAlignment="1" pivotButton="0" quotePrefix="0" xfId="0">
      <alignment vertical="top" wrapText="1"/>
    </xf>
    <xf numFmtId="10" fontId="7" fillId="0" borderId="1" pivotButton="0" quotePrefix="0" xfId="0"/>
    <xf numFmtId="10" fontId="7" fillId="9" borderId="1" pivotButton="0" quotePrefix="0" xfId="0"/>
    <xf numFmtId="0" fontId="5" fillId="0" borderId="0" pivotButton="0" quotePrefix="0" xfId="0"/>
    <xf numFmtId="0" fontId="2" fillId="0" borderId="0" pivotButton="0" quotePrefix="0" xfId="0"/>
    <xf numFmtId="0" fontId="4" fillId="0" borderId="0" pivotButton="0" quotePrefix="0" xfId="0"/>
    <xf numFmtId="165" fontId="4" fillId="0" borderId="0" pivotButton="0" quotePrefix="0" xfId="0"/>
    <xf numFmtId="0" fontId="2" fillId="0" borderId="0" applyAlignment="1" pivotButton="0" quotePrefix="0" xfId="0">
      <alignment vertical="top" wrapText="1"/>
    </xf>
    <xf numFmtId="166" fontId="4" fillId="0" borderId="1" pivotButton="0" quotePrefix="0" xfId="0"/>
    <xf numFmtId="0" fontId="0" fillId="6" borderId="1" pivotButton="0" quotePrefix="0" xfId="0"/>
    <xf numFmtId="10" fontId="4" fillId="0" borderId="1" pivotButton="0" quotePrefix="0" xfId="0"/>
    <xf numFmtId="10" fontId="5" fillId="7" borderId="1" pivotButton="0" quotePrefix="0" xfId="0"/>
    <xf numFmtId="0" fontId="9"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5"/>
  <sheetViews>
    <sheetView showGridLines="0" workbookViewId="0">
      <selection activeCell="A1" sqref="A1"/>
    </sheetView>
  </sheetViews>
  <sheetFormatPr baseColWidth="8" defaultRowHeight="15"/>
  <cols>
    <col width="3" customWidth="1" min="1" max="1"/>
    <col width="42" customWidth="1" min="2" max="2"/>
    <col width="74" customWidth="1" min="3" max="3"/>
    <col width="3" customWidth="1" min="4" max="4"/>
  </cols>
  <sheetData>
    <row r="1" ht="26" customHeight="1">
      <c r="A1" s="1" t="inlineStr">
        <is>
          <t>BILL OF QUANTITIES AND DETAILED COST ESTIMATE</t>
        </is>
      </c>
    </row>
    <row r="2" ht="22" customHeight="1">
      <c r="A2" s="2" t="inlineStr">
        <is>
          <t>Underground CBRN-hardened blast-resistant protective structure and sentry post — Pune, Maharashtra</t>
        </is>
      </c>
    </row>
    <row r="4" ht="18" customHeight="1">
      <c r="B4" s="3" t="inlineStr">
        <is>
          <t>THE ESTIMATE</t>
        </is>
      </c>
    </row>
    <row r="5" ht="14" customHeight="1">
      <c r="B5" s="4" t="inlineStr">
        <is>
          <t>Package revision</t>
        </is>
      </c>
      <c r="C5" s="5" t="inlineStr">
        <is>
          <t>Works Management WM4</t>
        </is>
      </c>
    </row>
    <row r="6" ht="14" customHeight="1">
      <c r="B6" s="4" t="inlineStr">
        <is>
          <t>Date</t>
        </is>
      </c>
      <c r="C6" s="5" t="inlineStr">
        <is>
          <t>15 September 2026</t>
        </is>
      </c>
    </row>
    <row r="7" ht="22" customHeight="1">
      <c r="B7" s="4" t="inlineStr">
        <is>
          <t>Supersedes</t>
        </is>
      </c>
      <c r="C7" s="5" t="inlineStr">
        <is>
          <t>Nothing.  WM1 (master H.10) measured this bill and carried NO rate; WM4 prices it.  WM1, WM2 and WM3 are preserved unaltered alongside</t>
        </is>
      </c>
    </row>
    <row r="8" ht="14" customHeight="1">
      <c r="B8" s="4" t="inlineStr">
        <is>
          <t>Geometry</t>
        </is>
      </c>
      <c r="C8" s="5" t="inlineStr">
        <is>
          <t>Architectural Rev F · Structural Phase 2 Rev A + M1</t>
        </is>
      </c>
    </row>
    <row r="9" ht="33" customHeight="1">
      <c r="B9" s="4" t="inlineStr">
        <is>
          <t>Quantities</t>
        </is>
      </c>
      <c r="C9" s="5" t="inlineStr">
        <is>
          <t>WM1, unchanged.  NOT ONE QUANTITY IS ALTERED BY THIS REVISION.  Where a WM1 line is split to reach two different SSR items the parts sum back to the WM1 figure exactly — see the Verification sheet</t>
        </is>
      </c>
    </row>
    <row r="11" ht="18" customHeight="1">
      <c r="B11" s="3" t="inlineStr">
        <is>
          <t>RATE SOURCE</t>
        </is>
      </c>
    </row>
    <row r="12" ht="33" customHeight="1">
      <c r="B12" s="4" t="inlineStr">
        <is>
          <t>Schedule</t>
        </is>
      </c>
      <c r="C12" s="5" t="inlineStr">
        <is>
          <t>Government of Maharashtra, Public Works Department — STATE SCHEDULE OF RATES 2022-23, approved by Government Circular RADASU-2022/PR.KR.12/NIYOJAN-3 dated 25 July 2022, effective 25 July 2022.  Supplied by the project owner as "SSR 22-23 MH (1).pdf", 624 pages.</t>
        </is>
      </c>
    </row>
    <row r="13" ht="33" customHeight="1">
      <c r="B13" s="4" t="inlineStr">
        <is>
          <t>Rate basis</t>
        </is>
      </c>
      <c r="C13" s="5" t="inlineStr">
        <is>
          <t>'Completed Rate for 2022-23 excluding GST' — the SSR's own column.  These rates ALREADY contain 10 % overheads, 10 % contractor's profit and 1 % labour cess, and every concrete item already contains its steel centering and formwork</t>
        </is>
      </c>
    </row>
    <row r="14" ht="14" customHeight="1">
      <c r="B14" s="4" t="inlineStr">
        <is>
          <t>Reinforcement</t>
        </is>
      </c>
      <c r="C14" s="5" t="inlineStr">
        <is>
          <t>NOT in the concrete rates — SSR 26.33, measured on the weight fixed in position</t>
        </is>
      </c>
    </row>
    <row r="16" ht="18" customHeight="1">
      <c r="B16" s="3" t="inlineStr">
        <is>
          <t>WHAT THE BOTTOM LINE COVERS</t>
        </is>
      </c>
    </row>
    <row r="17" ht="14" customHeight="1">
      <c r="B17" s="4" t="inlineStr">
        <is>
          <t>Priced at a published SSR item</t>
        </is>
      </c>
      <c r="C17" s="5" t="inlineStr">
        <is>
          <t>53 lines   Rs 13,823,328.00</t>
        </is>
      </c>
    </row>
    <row r="18" ht="14" customHeight="1">
      <c r="B18" s="6" t="inlineStr">
        <is>
          <t>Priced on a stated assumption [A]</t>
        </is>
      </c>
      <c r="C18" s="7" t="inlineStr">
        <is>
          <t>21 lines   Rs 1,459,949.78</t>
        </is>
      </c>
    </row>
    <row r="19" ht="14" customHeight="1">
      <c r="B19" s="8" t="inlineStr">
        <is>
          <t>Included in another rate — not payable twice</t>
        </is>
      </c>
      <c r="C19" s="9" t="inlineStr">
        <is>
          <t>15 lines</t>
        </is>
      </c>
    </row>
    <row r="20" ht="14" customHeight="1">
      <c r="B20" s="10" t="inlineStr">
        <is>
          <t>NOT PRICED — no specification, or no SSR item</t>
        </is>
      </c>
      <c r="C20" s="11" t="inlineStr">
        <is>
          <t>25 lines</t>
        </is>
      </c>
    </row>
    <row r="22" ht="14" customHeight="1">
      <c r="B22" s="12" t="inlineStr">
        <is>
          <t>TOTAL OF ITEMS</t>
        </is>
      </c>
      <c r="C22" s="13" t="inlineStr">
        <is>
          <t>Rs 15,283,277.78</t>
        </is>
      </c>
    </row>
    <row r="23" ht="14" customHeight="1">
      <c r="B23" s="12" t="inlineStr">
        <is>
          <t>ESTIMATED COST after recapitulation and GST</t>
        </is>
      </c>
      <c r="C23" s="13" t="inlineStr">
        <is>
          <t>Rs 20,739,407.95</t>
        </is>
      </c>
    </row>
    <row r="25" ht="18" customHeight="1">
      <c r="B25" s="3" t="inlineStr">
        <is>
          <t>WHAT IS EXCLUDED FROM IT — READ THIS BEFORE USING THE FIGURE</t>
        </is>
      </c>
    </row>
    <row r="26" ht="44" customHeight="1">
      <c r="B26" s="10" t="inlineStr">
        <is>
          <t>Protective plant and closures</t>
        </is>
      </c>
      <c r="C26" s="11" t="inlineStr">
        <is>
          <t>Blast doors, exit hatches, blast valves, the NBC collective protection trains, the EMP Zone 2 enclosure, the standby generator, sump pumps and commissioning have NO SSR ITEM and are NOT in the total.  The owner's own bill prices them at about Rs 1.05 crore from vendor figures.  See sheet 'Not priced'</t>
        </is>
      </c>
    </row>
    <row r="27" ht="14" customHeight="1">
      <c r="B27" s="10" t="inlineStr">
        <is>
          <t>Electrical and EMP installation</t>
        </is>
      </c>
      <c r="C27" s="11" t="inlineStr">
        <is>
          <t>No electrical design package exists, so there is no quantity to price.  Seven lines, all nil</t>
        </is>
      </c>
    </row>
    <row r="28" ht="14" customHeight="1">
      <c r="B28" s="10" t="inlineStr">
        <is>
          <t>Waterstops</t>
        </is>
      </c>
      <c r="C28" s="11" t="inlineStr">
        <is>
          <t>109.76 m measured.  THE SSR HAS NO WATERSTOP ITEM anywhere in 624 pages</t>
        </is>
      </c>
    </row>
    <row r="29" ht="14" customHeight="1">
      <c r="B29" s="10" t="inlineStr">
        <is>
          <t>Flooring, window W1, spiral stair, berm, camouflage</t>
        </is>
      </c>
      <c r="C29" s="11" t="inlineStr">
        <is>
          <t>No specification, or no quantity, exists in the project for any of them.  No rate is invented</t>
        </is>
      </c>
    </row>
    <row r="31" ht="18" customHeight="1">
      <c r="B31" s="3" t="inlineStr">
        <is>
          <t>EVIDENCE DISCIPLINE</t>
        </is>
      </c>
    </row>
    <row r="32" ht="22" customHeight="1">
      <c r="B32" s="4" t="inlineStr">
        <is>
          <t>No invented rates</t>
        </is>
      </c>
      <c r="C32" s="5" t="inlineStr">
        <is>
          <t>Every rate is either a published SSR item, or is derived from one by a method the SSR itself prescribes, with the arithmetic shown on the 'Rate derivation' sheet</t>
        </is>
      </c>
    </row>
    <row r="33" ht="14" customHeight="1">
      <c r="B33" s="4" t="inlineStr">
        <is>
          <t>No resolved assumptions</t>
        </is>
      </c>
      <c r="C33" s="5" t="inlineStr">
        <is>
          <t>Every [A] and [N] tag carried by WM1 is carried forward.  None is upgraded</t>
        </is>
      </c>
    </row>
    <row r="34" ht="14" customHeight="1">
      <c r="B34" s="4" t="inlineStr">
        <is>
          <t>Main staircase</t>
        </is>
      </c>
      <c r="C34" s="5" t="inlineStr">
        <is>
          <t>UNTOUCHED — 24 risers, 170.8333 mm riser, 280 mm tread, 3 flights x 8, 4 100 mm total rise</t>
        </is>
      </c>
    </row>
    <row r="35" ht="14" customHeight="1">
      <c r="B35" s="4" t="inlineStr">
        <is>
          <t>Open items raised by this revision</t>
        </is>
      </c>
      <c r="C35" s="5" t="inlineStr">
        <is>
          <t>WM4-V1, WM4-V2, WM4-V3, WM4-V4, WM4-V5, WM4-V6, WM4-V7 — see the 'Open items' sheet</t>
        </is>
      </c>
    </row>
  </sheetData>
  <mergeCells count="7">
    <mergeCell ref="A1:D1"/>
    <mergeCell ref="B16:C16"/>
    <mergeCell ref="B11:C11"/>
    <mergeCell ref="B25:C25"/>
    <mergeCell ref="A2:D2"/>
    <mergeCell ref="B31:C31"/>
    <mergeCell ref="B4:C4"/>
  </mergeCells>
  <pageMargins left="0.3" right="0.3" top="0.4" bottom="0.4" header="0.5" footer="0.5"/>
  <pageSetup orientation="landscape" fitToWidth="1"/>
</worksheet>
</file>

<file path=xl/worksheets/sheet2.xml><?xml version="1.0" encoding="utf-8"?>
<worksheet xmlns="http://schemas.openxmlformats.org/spreadsheetml/2006/main">
  <sheetPr>
    <outlinePr summaryBelow="1" summaryRight="1"/>
    <pageSetUpPr/>
  </sheetPr>
  <dimension ref="A1:J154"/>
  <sheetViews>
    <sheetView showGridLines="0" workbookViewId="0">
      <pane ySplit="3" topLeftCell="A4" activePane="bottomLeft" state="frozen"/>
      <selection pane="bottomLeft" activeCell="A1" sqref="A1"/>
    </sheetView>
  </sheetViews>
  <sheetFormatPr baseColWidth="8" defaultRowHeight="15"/>
  <cols>
    <col width="14" customWidth="1" min="1" max="1"/>
    <col width="52" customWidth="1" min="2" max="2"/>
    <col width="7" customWidth="1" min="3" max="3"/>
    <col width="12" customWidth="1" min="4" max="4"/>
    <col width="13" customWidth="1" min="5" max="5"/>
    <col width="12" customWidth="1" min="6" max="6"/>
    <col width="15" customWidth="1" min="7" max="7"/>
    <col width="26" customWidth="1" min="8" max="8"/>
    <col width="78" customWidth="1" min="9" max="9"/>
  </cols>
  <sheetData>
    <row r="1" ht="26" customHeight="1">
      <c r="A1" s="1" t="inlineStr">
        <is>
          <t>BILL OF QUANTITIES — PRICED AT SSR 2022-23</t>
        </is>
      </c>
    </row>
    <row r="2" ht="22" customHeight="1">
      <c r="A2" s="2" t="inlineStr">
        <is>
          <t>Quantities are WM1's, unchanged.  Amount = Quantity x Rate, as a formula in every row.  Rates in blue are read from the SSR; rates in black are derived from a published SSR item by the schedule's own method.</t>
        </is>
      </c>
    </row>
    <row r="3" ht="32" customHeight="1">
      <c r="A3" s="14" t="inlineStr">
        <is>
          <t>Section / Item</t>
        </is>
      </c>
      <c r="B3" s="14" t="inlineStr">
        <is>
          <t>Description</t>
        </is>
      </c>
      <c r="C3" s="14" t="inlineStr">
        <is>
          <t>Unit</t>
        </is>
      </c>
      <c r="D3" s="14" t="inlineStr">
        <is>
          <t>Quantity</t>
        </is>
      </c>
      <c r="E3" s="14" t="inlineStr">
        <is>
          <t>SSR item</t>
        </is>
      </c>
      <c r="F3" s="14" t="inlineStr">
        <is>
          <t>Rate (Rs)</t>
        </is>
      </c>
      <c r="G3" s="14" t="inlineStr">
        <is>
          <t>Amount (Rs)</t>
        </is>
      </c>
      <c r="H3" s="14" t="inlineStr">
        <is>
          <t>Status</t>
        </is>
      </c>
      <c r="I3" s="14" t="inlineStr">
        <is>
          <t>Basis / note</t>
        </is>
      </c>
    </row>
    <row r="4">
      <c r="A4" s="3" t="inlineStr">
        <is>
          <t>A · SITE PREPARATION AND EARTHWORKS</t>
        </is>
      </c>
    </row>
    <row r="5" ht="13" customHeight="1">
      <c r="A5" s="15" t="inlineStr">
        <is>
          <t>E-01</t>
        </is>
      </c>
      <c r="B5" s="16" t="inlineStr">
        <is>
          <t>Site clearance and grubbing, shelter area</t>
        </is>
      </c>
      <c r="C5" s="16" t="inlineStr">
        <is>
          <t>m2</t>
        </is>
      </c>
      <c r="D5" s="17" t="n">
        <v>618.8</v>
      </c>
      <c r="E5" s="16" t="inlineStr">
        <is>
          <t>21.33</t>
        </is>
      </c>
      <c r="F5" s="18" t="n">
        <v>7</v>
      </c>
      <c r="G5" s="19">
        <f>D5*F5</f>
        <v/>
      </c>
      <c r="H5" s="16" t="inlineStr">
        <is>
          <t>PRICED</t>
        </is>
      </c>
      <c r="I5" s="20" t="inlineStr">
        <is>
          <t>Clearance only.  The 150 topsoil strip is measured and priced at E-01a</t>
        </is>
      </c>
    </row>
    <row r="6" ht="20" customHeight="1">
      <c r="A6" s="15" t="inlineStr">
        <is>
          <t>E-01a</t>
        </is>
      </c>
      <c r="B6" s="16" t="inlineStr">
        <is>
          <t>Topsoil stripped 150 thk and stockpiled for re-use in the concealment layer</t>
        </is>
      </c>
      <c r="C6" s="16" t="inlineStr">
        <is>
          <t>m3</t>
        </is>
      </c>
      <c r="D6" s="17" t="n">
        <v>92.81999999999999</v>
      </c>
      <c r="E6" s="16" t="inlineStr">
        <is>
          <t>21.02</t>
        </is>
      </c>
      <c r="F6" s="18" t="n">
        <v>207</v>
      </c>
      <c r="G6" s="19">
        <f>D6*F6</f>
        <v/>
      </c>
      <c r="H6" s="16" t="inlineStr">
        <is>
          <t>PRICED</t>
        </is>
      </c>
      <c r="I6" s="20" t="inlineStr">
        <is>
          <t>Excavation in soil, lift &lt;= 1.5 m, mechanical.  Stacking within 50 m is inside the SSR rate, which is exactly what stockpiling for re-use is</t>
        </is>
      </c>
    </row>
    <row r="7" ht="20" customHeight="1">
      <c r="A7" s="21" t="inlineStr">
        <is>
          <t>E-02</t>
        </is>
      </c>
      <c r="B7" s="22" t="inlineStr">
        <is>
          <t>Bulk excavation, main shelter, 0.000 to (-)6.800, all strata — SUM OF THE SIX DEPTH BANDS BELOW</t>
        </is>
      </c>
      <c r="C7" s="22" t="inlineStr">
        <is>
          <t>m3</t>
        </is>
      </c>
      <c r="D7" s="23" t="n">
        <v>1338.24</v>
      </c>
      <c r="E7" s="22" t="inlineStr">
        <is>
          <t>—</t>
        </is>
      </c>
      <c r="F7" s="24" t="n"/>
      <c r="G7" s="25" t="n"/>
      <c r="H7" s="22" t="inlineStr">
        <is>
          <t>INCLUDED — not separately payable</t>
        </is>
      </c>
      <c r="I7" s="26" t="inlineStr">
        <is>
          <t>Measured at E-02.1 to E-02.6.  Plan area 196.80 m2 = 1338.24 / 6.800</t>
        </is>
      </c>
    </row>
    <row r="8" ht="13" customHeight="1">
      <c r="A8" s="15" t="inlineStr">
        <is>
          <t>E-02.1</t>
        </is>
      </c>
      <c r="B8" s="16" t="inlineStr">
        <is>
          <t xml:space="preserve">  0.000 to (-)1.500, soil / weathered overburden</t>
        </is>
      </c>
      <c r="C8" s="16" t="inlineStr">
        <is>
          <t>m3</t>
        </is>
      </c>
      <c r="D8" s="17" t="n">
        <v>295.2</v>
      </c>
      <c r="E8" s="16" t="inlineStr">
        <is>
          <t>21.02</t>
        </is>
      </c>
      <c r="F8" s="18" t="n">
        <v>207</v>
      </c>
      <c r="G8" s="19">
        <f>D8*F8</f>
        <v/>
      </c>
      <c r="H8" s="16" t="inlineStr">
        <is>
          <t>PRICED</t>
        </is>
      </c>
      <c r="I8" s="20" t="inlineStr">
        <is>
          <t>Lift &lt;= 1.5 m.  Reproduces the WM1 lower bound of 295.2 m3 exactly</t>
        </is>
      </c>
    </row>
    <row r="9" ht="13" customHeight="1">
      <c r="A9" s="15" t="inlineStr">
        <is>
          <t>E-02.2</t>
        </is>
      </c>
      <c r="B9" s="16" t="inlineStr">
        <is>
          <t xml:space="preserve">  (-)1.500 to (-)1.750, soil to mean rockhead</t>
        </is>
      </c>
      <c r="C9" s="16" t="inlineStr">
        <is>
          <t>m3</t>
        </is>
      </c>
      <c r="D9" s="17" t="n">
        <v>49.2</v>
      </c>
      <c r="E9" s="16" t="inlineStr">
        <is>
          <t>21.04</t>
        </is>
      </c>
      <c r="F9" s="18" t="n">
        <v>258</v>
      </c>
      <c r="G9" s="19">
        <f>D9*F9</f>
        <v/>
      </c>
      <c r="H9" s="16" t="inlineStr">
        <is>
          <t>PRICED</t>
        </is>
      </c>
      <c r="I9" s="20" t="inlineStr">
        <is>
          <t>Lift 1.5 to 3.0 m.  E-02.1 + E-02.2 = 344.4 m3 = WM1 item E-02a exactly</t>
        </is>
      </c>
    </row>
    <row r="10" ht="30" customHeight="1">
      <c r="A10" s="15" t="inlineStr">
        <is>
          <t>E-02.3</t>
        </is>
      </c>
      <c r="B10" s="16" t="inlineStr">
        <is>
          <t xml:space="preserve">  (-)1.750 to (-)3.000, Deccan basalt</t>
        </is>
      </c>
      <c r="C10" s="16" t="inlineStr">
        <is>
          <t>m3</t>
        </is>
      </c>
      <c r="D10" s="17" t="n">
        <v>246</v>
      </c>
      <c r="E10" s="16" t="inlineStr">
        <is>
          <t>21.20</t>
        </is>
      </c>
      <c r="F10" s="27" t="n">
        <v>1307</v>
      </c>
      <c r="G10" s="19">
        <f>D10*F10</f>
        <v/>
      </c>
      <c r="H10" s="16" t="inlineStr">
        <is>
          <t>PRICED</t>
        </is>
      </c>
      <c r="I10" s="20" t="inlineStr">
        <is>
          <t>BY HYDRAULIC BREAKER, NOT BLASTING — WM_CONSTRUCTION_METHODOLOGY.md and risk S-02.  SSR 21.20 is the schedule's non-blasting rock item; the three blasting items 21.17 / 21.18 / 21.19 do not apply to this project</t>
        </is>
      </c>
    </row>
    <row r="11" ht="13" customHeight="1">
      <c r="A11" s="15" t="inlineStr">
        <is>
          <t>E-02.4</t>
        </is>
      </c>
      <c r="B11" s="16" t="inlineStr">
        <is>
          <t xml:space="preserve">  (-)3.000 to (-)4.500, Deccan basalt</t>
        </is>
      </c>
      <c r="C11" s="16" t="inlineStr">
        <is>
          <t>m3</t>
        </is>
      </c>
      <c r="D11" s="17" t="n">
        <v>295.2</v>
      </c>
      <c r="E11" s="16" t="inlineStr">
        <is>
          <t>21.20</t>
        </is>
      </c>
      <c r="F11" s="27" t="n">
        <v>1568.4</v>
      </c>
      <c r="G11" s="19">
        <f>D11*F11</f>
        <v/>
      </c>
      <c r="H11" s="16" t="inlineStr">
        <is>
          <t>PRICED</t>
        </is>
      </c>
      <c r="I11" s="20" t="inlineStr">
        <is>
          <t>SSR 21.20 + 20 % depth increase, General Notes Section B</t>
        </is>
      </c>
    </row>
    <row r="12" ht="13" customHeight="1">
      <c r="A12" s="15" t="inlineStr">
        <is>
          <t>E-02.5</t>
        </is>
      </c>
      <c r="B12" s="16" t="inlineStr">
        <is>
          <t xml:space="preserve">  (-)4.500 to (-)6.000, Deccan basalt</t>
        </is>
      </c>
      <c r="C12" s="16" t="inlineStr">
        <is>
          <t>m3</t>
        </is>
      </c>
      <c r="D12" s="17" t="n">
        <v>295.2</v>
      </c>
      <c r="E12" s="16" t="inlineStr">
        <is>
          <t>21.20</t>
        </is>
      </c>
      <c r="F12" s="27" t="n">
        <v>1699.1</v>
      </c>
      <c r="G12" s="19">
        <f>D12*F12</f>
        <v/>
      </c>
      <c r="H12" s="16" t="inlineStr">
        <is>
          <t>PRICED</t>
        </is>
      </c>
      <c r="I12" s="20" t="inlineStr">
        <is>
          <t>SSR 21.20 + 30 % depth increase, General Notes Section B</t>
        </is>
      </c>
    </row>
    <row r="13" ht="20" customHeight="1">
      <c r="A13" s="28" t="inlineStr">
        <is>
          <t>E-02.6</t>
        </is>
      </c>
      <c r="B13" s="29" t="inlineStr">
        <is>
          <t xml:space="preserve">  (-)6.000 to (-)6.800, Deccan basalt</t>
        </is>
      </c>
      <c r="C13" s="29" t="inlineStr">
        <is>
          <t>m3</t>
        </is>
      </c>
      <c r="D13" s="30" t="n">
        <v>157.44</v>
      </c>
      <c r="E13" s="29" t="inlineStr">
        <is>
          <t>21.20</t>
        </is>
      </c>
      <c r="F13" s="31" t="n">
        <v>1699.1</v>
      </c>
      <c r="G13" s="32">
        <f>D13*F13</f>
        <v/>
      </c>
      <c r="H13" s="29" t="inlineStr">
        <is>
          <t>PRICED [A] — stated assumption</t>
        </is>
      </c>
      <c r="I13" s="33" t="inlineStr">
        <is>
          <t>[A] BEYOND THE SSR's LAST DEFINED BAND.  Priced at the 4.5-6.0 m band's +30 % as a declared LOWER BOUND.  Section B leaves the percentage to the Superintending Engineer.  OPEN ITEM WM4-V1</t>
        </is>
      </c>
    </row>
    <row r="14" ht="20" customHeight="1">
      <c r="A14" s="21" t="inlineStr">
        <is>
          <t>E-02a</t>
        </is>
      </c>
      <c r="B14" s="22" t="inlineStr">
        <is>
          <t xml:space="preserve">  of which excavation in soil / weathered overburden</t>
        </is>
      </c>
      <c r="C14" s="22" t="inlineStr">
        <is>
          <t>m3</t>
        </is>
      </c>
      <c r="D14" s="23" t="n">
        <v>344.4</v>
      </c>
      <c r="E14" s="22" t="inlineStr">
        <is>
          <t>—</t>
        </is>
      </c>
      <c r="F14" s="24" t="n"/>
      <c r="G14" s="25" t="n"/>
      <c r="H14" s="22" t="inlineStr">
        <is>
          <t>INCLUDED — not separately payable</t>
        </is>
      </c>
      <c r="I14" s="26" t="inlineStr">
        <is>
          <t>Memorandum.  Priced at E-02.1 and E-02.2</t>
        </is>
      </c>
    </row>
    <row r="15" ht="13" customHeight="1">
      <c r="A15" s="21" t="inlineStr">
        <is>
          <t>E-02b</t>
        </is>
      </c>
      <c r="B15" s="22" t="inlineStr">
        <is>
          <t xml:space="preserve">  of which excavation in rock (Deccan basalt)</t>
        </is>
      </c>
      <c r="C15" s="22" t="inlineStr">
        <is>
          <t>m3</t>
        </is>
      </c>
      <c r="D15" s="23" t="n">
        <v>993.84</v>
      </c>
      <c r="E15" s="22" t="inlineStr">
        <is>
          <t>—</t>
        </is>
      </c>
      <c r="F15" s="24" t="n"/>
      <c r="G15" s="25" t="n"/>
      <c r="H15" s="22" t="inlineStr">
        <is>
          <t>INCLUDED — not separately payable</t>
        </is>
      </c>
      <c r="I15" s="26" t="inlineStr">
        <is>
          <t>Memorandum.  Priced at E-02.3 to E-02.6</t>
        </is>
      </c>
    </row>
    <row r="16" ht="20" customHeight="1">
      <c r="A16" s="28" t="inlineStr">
        <is>
          <t>E-03</t>
        </is>
      </c>
      <c r="B16" s="29" t="inlineStr">
        <is>
          <t>Excavation in rock for sump pit SU-01, below general formation</t>
        </is>
      </c>
      <c r="C16" s="29" t="inlineStr">
        <is>
          <t>m3</t>
        </is>
      </c>
      <c r="D16" s="30" t="n">
        <v>9.477</v>
      </c>
      <c r="E16" s="29" t="inlineStr">
        <is>
          <t>21.20</t>
        </is>
      </c>
      <c r="F16" s="31" t="n">
        <v>1699.1</v>
      </c>
      <c r="G16" s="32">
        <f>D16*F16</f>
        <v/>
      </c>
      <c r="H16" s="29" t="inlineStr">
        <is>
          <t>PRICED [A] — stated assumption</t>
        </is>
      </c>
      <c r="I16" s="33" t="inlineStr">
        <is>
          <t>[A] Below (-)6.800, so beyond the SSR's last defined depth band.  Same lower bound and the same open item as E-02.6 — WM4-V1</t>
        </is>
      </c>
    </row>
    <row r="17" ht="30" customHeight="1">
      <c r="A17" s="28" t="inlineStr">
        <is>
          <t>E-04</t>
        </is>
      </c>
      <c r="B17" s="29" t="inlineStr">
        <is>
          <t>Excavation for the covered entry stairwell, outside the box envelope, 0.000 to (-)2.000</t>
        </is>
      </c>
      <c r="C17" s="29" t="inlineStr">
        <is>
          <t>m3</t>
        </is>
      </c>
      <c r="D17" s="30" t="n">
        <v>19.096</v>
      </c>
      <c r="E17" s="29" t="inlineStr">
        <is>
          <t>21.04</t>
        </is>
      </c>
      <c r="F17" s="34" t="n">
        <v>258</v>
      </c>
      <c r="G17" s="32">
        <f>D17*F17</f>
        <v/>
      </c>
      <c r="H17" s="29" t="inlineStr">
        <is>
          <t>PRICED [A] — stated assumption</t>
        </is>
      </c>
      <c r="I17" s="33" t="inlineStr">
        <is>
          <t>[A] Priced wholly as soil at the 1.5-3.0 m lift.  The strata split is not derivable from the project record; SG1 puts a CH clay horizon here to 1.0 m.  If basalt is met below the mean rockhead the 21.20 rate applies to that part</t>
        </is>
      </c>
    </row>
    <row r="18" ht="20" customHeight="1">
      <c r="A18" s="15" t="inlineStr">
        <is>
          <t>E-05.1</t>
        </is>
      </c>
      <c r="B18" s="16" t="inlineStr">
        <is>
          <t>Excavation, sentry post footings F1, 4 No.: 0.000 to (-)1.500, soil</t>
        </is>
      </c>
      <c r="C18" s="16" t="inlineStr">
        <is>
          <t>m3</t>
        </is>
      </c>
      <c r="D18" s="17" t="n">
        <v>26.46</v>
      </c>
      <c r="E18" s="16" t="inlineStr">
        <is>
          <t>21.02</t>
        </is>
      </c>
      <c r="F18" s="18" t="n">
        <v>207</v>
      </c>
      <c r="G18" s="19">
        <f>D18*F18</f>
        <v/>
      </c>
      <c r="H18" s="16" t="inlineStr">
        <is>
          <t>PRICED</t>
        </is>
      </c>
      <c r="I18" s="20" t="inlineStr">
        <is>
          <t>Pits 2.100 sq (0.300 working space) x 2.100 deep — wm_quantities.py 1.6</t>
        </is>
      </c>
    </row>
    <row r="19" ht="13" customHeight="1">
      <c r="A19" s="15" t="inlineStr">
        <is>
          <t>E-05.2</t>
        </is>
      </c>
      <c r="B19" s="16" t="inlineStr">
        <is>
          <t xml:space="preserve">  (-)1.500 to (-)1.750, soil</t>
        </is>
      </c>
      <c r="C19" s="16" t="inlineStr">
        <is>
          <t>m3</t>
        </is>
      </c>
      <c r="D19" s="17" t="n">
        <v>4.41</v>
      </c>
      <c r="E19" s="16" t="inlineStr">
        <is>
          <t>21.04</t>
        </is>
      </c>
      <c r="F19" s="18" t="n">
        <v>258</v>
      </c>
      <c r="G19" s="19">
        <f>D19*F19</f>
        <v/>
      </c>
      <c r="H19" s="16" t="inlineStr">
        <is>
          <t>PRICED</t>
        </is>
      </c>
      <c r="I19" s="20" t="inlineStr">
        <is>
          <t>Lift 1.5 to 3.0 m</t>
        </is>
      </c>
    </row>
    <row r="20" ht="20" customHeight="1">
      <c r="A20" s="15" t="inlineStr">
        <is>
          <t>E-05.3</t>
        </is>
      </c>
      <c r="B20" s="16" t="inlineStr">
        <is>
          <t xml:space="preserve">  (-)1.750 to (-)2.100, Deccan basalt</t>
        </is>
      </c>
      <c r="C20" s="16" t="inlineStr">
        <is>
          <t>m3</t>
        </is>
      </c>
      <c r="D20" s="17" t="n">
        <v>6.174</v>
      </c>
      <c r="E20" s="16" t="inlineStr">
        <is>
          <t>21.20</t>
        </is>
      </c>
      <c r="F20" s="27" t="n">
        <v>1307</v>
      </c>
      <c r="G20" s="19">
        <f>D20*F20</f>
        <v/>
      </c>
      <c r="H20" s="16" t="inlineStr">
        <is>
          <t>PRICED</t>
        </is>
      </c>
      <c r="I20" s="20" t="inlineStr">
        <is>
          <t>F1 founds on in-situ basalt at (-)2.000.  Depth under 3.0 m: no increase.  E-05.1 + E-05.2 + E-05.3 = 37.044 m3 = WM1 item E-05 exactly</t>
        </is>
      </c>
    </row>
    <row r="21" ht="20" customHeight="1">
      <c r="A21" s="15" t="inlineStr">
        <is>
          <t>E-06</t>
        </is>
      </c>
      <c r="B21" s="16" t="inlineStr">
        <is>
          <t>Filling in compacted granular fill under the sentry post ground floor</t>
        </is>
      </c>
      <c r="C21" s="16" t="inlineStr">
        <is>
          <t>m3</t>
        </is>
      </c>
      <c r="D21" s="17" t="n">
        <v>7.452</v>
      </c>
      <c r="E21" s="16" t="inlineStr">
        <is>
          <t>21.37</t>
        </is>
      </c>
      <c r="F21" s="18" t="n">
        <v>599</v>
      </c>
      <c r="G21" s="19">
        <f>D21*F21</f>
        <v/>
      </c>
      <c r="H21" s="16" t="inlineStr">
        <is>
          <t>PRICED</t>
        </is>
      </c>
      <c r="I21" s="20" t="inlineStr">
        <is>
          <t>Contractor's material, 15-20 cm layers, watered and compacted</t>
        </is>
      </c>
    </row>
    <row r="22" ht="20" customHeight="1">
      <c r="A22" s="15" t="inlineStr">
        <is>
          <t>E-07</t>
        </is>
      </c>
      <c r="B22" s="16" t="inlineStr">
        <is>
          <t>Side backfill in selected granular fill, 250 layers to 95 % MDD</t>
        </is>
      </c>
      <c r="C22" s="16" t="inlineStr">
        <is>
          <t>m3</t>
        </is>
      </c>
      <c r="D22" s="17" t="n">
        <v>289.92</v>
      </c>
      <c r="E22" s="16" t="inlineStr">
        <is>
          <t>21.37</t>
        </is>
      </c>
      <c r="F22" s="18" t="n">
        <v>599</v>
      </c>
      <c r="G22" s="19">
        <f>D22*F22</f>
        <v/>
      </c>
      <c r="H22" s="16" t="inlineStr">
        <is>
          <t>PRICED</t>
        </is>
      </c>
      <c r="I22" s="20" t="inlineStr">
        <is>
          <t>SSR layers are 15-20 cm against the specified 250 — the specification is TIGHTER than the schedule, so the SSR rate is not understated on that count</t>
        </is>
      </c>
    </row>
    <row r="23" ht="30" customHeight="1">
      <c r="A23" s="21" t="inlineStr">
        <is>
          <t>E-08</t>
        </is>
      </c>
      <c r="B23" s="22" t="inlineStr">
        <is>
          <t>Surplus excavated material — re-use on site as engineered fill / crushed rubble, remainder to spoil</t>
        </is>
      </c>
      <c r="C23" s="22" t="inlineStr">
        <is>
          <t>m3</t>
        </is>
      </c>
      <c r="D23" s="23" t="n">
        <v>1113.937</v>
      </c>
      <c r="E23" s="22" t="inlineStr">
        <is>
          <t>—</t>
        </is>
      </c>
      <c r="F23" s="24" t="n"/>
      <c r="G23" s="25" t="n"/>
      <c r="H23" s="22" t="inlineStr">
        <is>
          <t>INCLUDED — not separately payable</t>
        </is>
      </c>
      <c r="I23" s="26" t="inlineStr">
        <is>
          <t>INCLUDED.  Every SSR excavation item already carries removal to 50 m beyond the building area and stacking as directed.  Lead beyond 50 m is payable under SSR Statement C-1 transportation charges and CANNOT be quantified — no site plan and no spoil destination exists (Drainage D3)</t>
        </is>
      </c>
    </row>
    <row r="24" ht="30" customHeight="1">
      <c r="A24" s="35" t="inlineStr">
        <is>
          <t>E-09</t>
        </is>
      </c>
      <c r="B24" s="36" t="inlineStr">
        <is>
          <t>Preconstructional antitermite treatment to the bottom surface and sides of the excavation, IS 6313 Part II</t>
        </is>
      </c>
      <c r="C24" s="36" t="inlineStr">
        <is>
          <t>m2</t>
        </is>
      </c>
      <c r="D24" s="37" t="n"/>
      <c r="E24" s="36" t="inlineStr">
        <is>
          <t>21.22</t>
        </is>
      </c>
      <c r="F24" s="38" t="n">
        <v>107</v>
      </c>
      <c r="G24" s="39" t="n"/>
      <c r="H24" s="36" t="inlineStr">
        <is>
          <t>NOT PRICED</t>
        </is>
      </c>
      <c r="I24" s="40" t="inlineStr">
        <is>
          <t>NOT IN THE WM1 BILL and no quantity exists.  Listed because the owner's own RC1 bill carries a 320 m2 anti-termite line and the SSR has an item for it.  Rate shown for information; NOT in the total</t>
        </is>
      </c>
    </row>
    <row r="25">
      <c r="A25" s="41" t="n"/>
      <c r="B25" s="42" t="inlineStr">
        <is>
          <t>SUB-TOTAL — A</t>
        </is>
      </c>
      <c r="C25" s="41" t="n"/>
      <c r="D25" s="41" t="n"/>
      <c r="E25" s="41" t="n"/>
      <c r="F25" s="41" t="n"/>
      <c r="G25" s="43">
        <f>SUM(G5:G24)</f>
        <v/>
      </c>
      <c r="H25" s="41" t="n"/>
      <c r="I25" s="41" t="n"/>
    </row>
    <row r="27">
      <c r="A27" s="3" t="inlineStr">
        <is>
          <t>B · MAIN UNDERGROUND SHELTER — CONCRETE</t>
        </is>
      </c>
    </row>
    <row r="28" ht="13" customHeight="1">
      <c r="A28" s="15" t="inlineStr">
        <is>
          <t>C-01</t>
        </is>
      </c>
      <c r="B28" s="16" t="inlineStr">
        <is>
          <t>Mat 600 (M35)</t>
        </is>
      </c>
      <c r="C28" s="16" t="inlineStr">
        <is>
          <t>m3</t>
        </is>
      </c>
      <c r="D28" s="17" t="n">
        <v>81.8</v>
      </c>
      <c r="E28" s="16" t="inlineStr">
        <is>
          <t>25.17</t>
        </is>
      </c>
      <c r="F28" s="18" t="n">
        <v>7562</v>
      </c>
      <c r="G28" s="19">
        <f>D28*F28</f>
        <v/>
      </c>
      <c r="H28" s="16" t="inlineStr">
        <is>
          <t>PRICED</t>
        </is>
      </c>
      <c r="I28" s="20" t="inlineStr">
        <is>
          <t>SSR 25.17 names raft foundations explicitly.  Formwork IS IN THE RATE</t>
        </is>
      </c>
    </row>
    <row r="29" ht="13" customHeight="1">
      <c r="A29" s="15" t="inlineStr">
        <is>
          <t>C-02</t>
        </is>
      </c>
      <c r="B29" s="16" t="inlineStr">
        <is>
          <t>Pressure slab 900, net of openings (M35)</t>
        </is>
      </c>
      <c r="C29" s="16" t="inlineStr">
        <is>
          <t>m3</t>
        </is>
      </c>
      <c r="D29" s="17" t="n">
        <v>112</v>
      </c>
      <c r="E29" s="16" t="inlineStr">
        <is>
          <t>25.76</t>
        </is>
      </c>
      <c r="F29" s="18" t="n">
        <v>14391</v>
      </c>
      <c r="G29" s="19">
        <f>D29*F29</f>
        <v/>
      </c>
      <c r="H29" s="16" t="inlineStr">
        <is>
          <t>PRICED</t>
        </is>
      </c>
      <c r="I29" s="20" t="inlineStr">
        <is>
          <t>R.C.C. slabs and landings, M-35</t>
        </is>
      </c>
    </row>
    <row r="30" ht="20" customHeight="1">
      <c r="A30" s="15" t="inlineStr">
        <is>
          <t>C-03</t>
        </is>
      </c>
      <c r="B30" s="16" t="inlineStr">
        <is>
          <t>Perimeter walls 600 (M35)</t>
        </is>
      </c>
      <c r="C30" s="16" t="inlineStr">
        <is>
          <t>m3</t>
        </is>
      </c>
      <c r="D30" s="17" t="n">
        <v>103.7</v>
      </c>
      <c r="E30" s="16" t="inlineStr">
        <is>
          <t>26.19 der.</t>
        </is>
      </c>
      <c r="F30" s="27" t="n">
        <v>16024.97</v>
      </c>
      <c r="G30" s="19">
        <f>D30*F30</f>
        <v/>
      </c>
      <c r="H30" s="16" t="inlineStr">
        <is>
          <t>PRICED</t>
        </is>
      </c>
      <c r="I30" s="20" t="inlineStr">
        <is>
          <t>R.C.C. pardi (wall) of required thickness, grade-uplifted M25 -&gt; M35 by the SSR's own cement-consumption rule</t>
        </is>
      </c>
    </row>
    <row r="31" ht="13" customHeight="1">
      <c r="A31" s="15" t="inlineStr">
        <is>
          <t>C-04</t>
        </is>
      </c>
      <c r="B31" s="16" t="inlineStr">
        <is>
          <t>Walls W6 / W7 400 (M35)</t>
        </is>
      </c>
      <c r="C31" s="16" t="inlineStr">
        <is>
          <t>m3</t>
        </is>
      </c>
      <c r="D31" s="17" t="n">
        <v>12.8</v>
      </c>
      <c r="E31" s="16" t="inlineStr">
        <is>
          <t>26.19 der.</t>
        </is>
      </c>
      <c r="F31" s="27" t="n">
        <v>16024.97</v>
      </c>
      <c r="G31" s="19">
        <f>D31*F31</f>
        <v/>
      </c>
      <c r="H31" s="16" t="inlineStr">
        <is>
          <t>PRICED</t>
        </is>
      </c>
      <c r="I31" s="20" t="inlineStr">
        <is>
          <t>As C-03</t>
        </is>
      </c>
    </row>
    <row r="32" ht="13" customHeight="1">
      <c r="A32" s="15" t="inlineStr">
        <is>
          <t>C-05</t>
        </is>
      </c>
      <c r="B32" s="16" t="inlineStr">
        <is>
          <t>Wall W5 200 (M35)</t>
        </is>
      </c>
      <c r="C32" s="16" t="inlineStr">
        <is>
          <t>m3</t>
        </is>
      </c>
      <c r="D32" s="17" t="n">
        <v>3.2</v>
      </c>
      <c r="E32" s="16" t="inlineStr">
        <is>
          <t>26.19 der.</t>
        </is>
      </c>
      <c r="F32" s="27" t="n">
        <v>16024.97</v>
      </c>
      <c r="G32" s="19">
        <f>D32*F32</f>
        <v/>
      </c>
      <c r="H32" s="16" t="inlineStr">
        <is>
          <t>PRICED</t>
        </is>
      </c>
      <c r="I32" s="20" t="inlineStr">
        <is>
          <t>As C-03</t>
        </is>
      </c>
    </row>
    <row r="33" ht="30" customHeight="1">
      <c r="A33" s="15" t="inlineStr">
        <is>
          <t>C-06.1</t>
        </is>
      </c>
      <c r="B33" s="16" t="inlineStr">
        <is>
          <t>Headhouse walls 400 (M35)</t>
        </is>
      </c>
      <c r="C33" s="16" t="inlineStr">
        <is>
          <t>m3</t>
        </is>
      </c>
      <c r="D33" s="17" t="n">
        <v>18.8</v>
      </c>
      <c r="E33" s="16" t="inlineStr">
        <is>
          <t>26.19 der.</t>
        </is>
      </c>
      <c r="F33" s="27" t="n">
        <v>16024.97</v>
      </c>
      <c r="G33" s="19">
        <f>D33*F33</f>
        <v/>
      </c>
      <c r="H33" s="16" t="inlineStr">
        <is>
          <t>PRICED</t>
        </is>
      </c>
      <c r="I33" s="20" t="inlineStr">
        <is>
          <t>WM1 item C-06 is walls + roof at 32.7 m3.  Split pro rata from its own derivation: walls (4.800 x 5.800 - 4.000 x 5.000) x 2.400 = 18.816, roof 4.800 x 5.800 x 0.500 = 13.920, total 32.736.  No quantity is changed</t>
        </is>
      </c>
    </row>
    <row r="34" ht="13" customHeight="1">
      <c r="A34" s="15" t="inlineStr">
        <is>
          <t>C-06.2</t>
        </is>
      </c>
      <c r="B34" s="16" t="inlineStr">
        <is>
          <t>Headhouse roof 500 (M35)</t>
        </is>
      </c>
      <c r="C34" s="16" t="inlineStr">
        <is>
          <t>m3</t>
        </is>
      </c>
      <c r="D34" s="17" t="n">
        <v>13.9</v>
      </c>
      <c r="E34" s="16" t="inlineStr">
        <is>
          <t>25.76</t>
        </is>
      </c>
      <c r="F34" s="18" t="n">
        <v>14391</v>
      </c>
      <c r="G34" s="19">
        <f>D34*F34</f>
        <v/>
      </c>
      <c r="H34" s="16" t="inlineStr">
        <is>
          <t>PRICED</t>
        </is>
      </c>
      <c r="I34" s="20" t="inlineStr">
        <is>
          <t>Same split as C-06.1</t>
        </is>
      </c>
    </row>
    <row r="35" ht="30" customHeight="1">
      <c r="A35" s="15" t="inlineStr">
        <is>
          <t>C-07</t>
        </is>
      </c>
      <c r="B35" s="16" t="inlineStr">
        <is>
          <t>Main staircase, waist and landings (M35)</t>
        </is>
      </c>
      <c r="C35" s="16" t="inlineStr">
        <is>
          <t>m3</t>
        </is>
      </c>
      <c r="D35" s="17" t="n">
        <v>3</v>
      </c>
      <c r="E35" s="16" t="inlineStr">
        <is>
          <t>26.26 der.</t>
        </is>
      </c>
      <c r="F35" s="27" t="n">
        <v>12518.97</v>
      </c>
      <c r="G35" s="19">
        <f>D35*F35</f>
        <v/>
      </c>
      <c r="H35" s="16" t="inlineStr">
        <is>
          <t>PRICED</t>
        </is>
      </c>
      <c r="I35" s="20" t="inlineStr">
        <is>
          <t>R.C.C. waist slab and steps of staircases, grade-uplifted M25 -&gt; M35.  THE STAIRCASE GEOMETRY IS FROZEN AND IS NOT TOUCHED — 24 risers, 170.8333 riser, 280 tread, 3 flights x 8, 4 100 total rise</t>
        </is>
      </c>
    </row>
    <row r="36" ht="30" customHeight="1">
      <c r="A36" s="28" t="inlineStr">
        <is>
          <t>C-08</t>
        </is>
      </c>
      <c r="B36" s="29" t="inlineStr">
        <is>
          <t>Entry stairwell: walls, roof, raft, flight, landings (M35)</t>
        </is>
      </c>
      <c r="C36" s="29" t="inlineStr">
        <is>
          <t>m3</t>
        </is>
      </c>
      <c r="D36" s="30" t="n">
        <v>19.9</v>
      </c>
      <c r="E36" s="29" t="inlineStr">
        <is>
          <t>26.19 der.</t>
        </is>
      </c>
      <c r="F36" s="31" t="n">
        <v>16024.97</v>
      </c>
      <c r="G36" s="32">
        <f>D36*F36</f>
        <v/>
      </c>
      <c r="H36" s="29" t="inlineStr">
        <is>
          <t>PRICED [A] — stated assumption</t>
        </is>
      </c>
      <c r="I36" s="33" t="inlineStr">
        <is>
          <t>[A] A composite accepted whole from SC1 — no volume split by member exists.  Priced entirely at the WALL rate, which is the DEAREST of the M-35 family, so the line cannot be understated by the choice.  83.0 of the 110.9 m2 of its formwork is wall face, so walls do govern</t>
        </is>
      </c>
    </row>
    <row r="37" ht="13" customHeight="1">
      <c r="A37" s="15" t="inlineStr">
        <is>
          <t>C-09</t>
        </is>
      </c>
      <c r="B37" s="16" t="inlineStr">
        <is>
          <t>Blinding / PCC M15, 100 thk under the mat</t>
        </is>
      </c>
      <c r="C37" s="16" t="inlineStr">
        <is>
          <t>m3</t>
        </is>
      </c>
      <c r="D37" s="17" t="n">
        <v>14.208</v>
      </c>
      <c r="E37" s="16" t="inlineStr">
        <is>
          <t>24.04</t>
        </is>
      </c>
      <c r="F37" s="18" t="n">
        <v>6359</v>
      </c>
      <c r="G37" s="19">
        <f>D37*F37</f>
        <v/>
      </c>
      <c r="H37" s="16" t="inlineStr">
        <is>
          <t>PRICED</t>
        </is>
      </c>
      <c r="I37" s="20" t="inlineStr">
        <is>
          <t>M15 for foundation and bedding</t>
        </is>
      </c>
    </row>
    <row r="38" ht="20" customHeight="1">
      <c r="A38" s="15" t="inlineStr">
        <is>
          <t>C-10</t>
        </is>
      </c>
      <c r="B38" s="16" t="inlineStr">
        <is>
          <t>Blinding / PCC M15, 100 thk, sump pit, footings F1 and stairwell raft</t>
        </is>
      </c>
      <c r="C38" s="16" t="inlineStr">
        <is>
          <t>m3</t>
        </is>
      </c>
      <c r="D38" s="17" t="n">
        <v>3.045</v>
      </c>
      <c r="E38" s="16" t="inlineStr">
        <is>
          <t>24.04</t>
        </is>
      </c>
      <c r="F38" s="18" t="n">
        <v>6359</v>
      </c>
      <c r="G38" s="19">
        <f>D38*F38</f>
        <v/>
      </c>
      <c r="H38" s="16" t="inlineStr">
        <is>
          <t>PRICED</t>
        </is>
      </c>
      <c r="I38" s="20" t="inlineStr">
        <is>
          <t>As C-09</t>
        </is>
      </c>
    </row>
    <row r="39" ht="20" customHeight="1">
      <c r="A39" s="28" t="inlineStr">
        <is>
          <t>C-11</t>
        </is>
      </c>
      <c r="B39" s="29" t="inlineStr">
        <is>
          <t>Sump pit SU-01 walls 300 and base 400 below the mat soffit (M35)</t>
        </is>
      </c>
      <c r="C39" s="29" t="inlineStr">
        <is>
          <t>m3</t>
        </is>
      </c>
      <c r="D39" s="30" t="n">
        <v>3.708</v>
      </c>
      <c r="E39" s="29" t="inlineStr">
        <is>
          <t>26.19 der.</t>
        </is>
      </c>
      <c r="F39" s="31" t="n">
        <v>16024.97</v>
      </c>
      <c r="G39" s="32">
        <f>D39*F39</f>
        <v/>
      </c>
      <c r="H39" s="29" t="inlineStr">
        <is>
          <t>PRICED [A] — stated assumption</t>
        </is>
      </c>
      <c r="I39" s="33" t="inlineStr">
        <is>
          <t>[A] Walls and base measured together in WM1.  Priced at the wall rate throughout — the dearer of the two applicable rates</t>
        </is>
      </c>
    </row>
    <row r="40" ht="20" customHeight="1">
      <c r="A40" s="15" t="inlineStr">
        <is>
          <t>C-12</t>
        </is>
      </c>
      <c r="B40" s="16" t="inlineStr">
        <is>
          <t>Escape shaft collars ESC 1 and ESC 2, 250 RC, OD 1900 (M35)</t>
        </is>
      </c>
      <c r="C40" s="16" t="inlineStr">
        <is>
          <t>m3</t>
        </is>
      </c>
      <c r="D40" s="17" t="n">
        <v>6.285</v>
      </c>
      <c r="E40" s="16" t="inlineStr">
        <is>
          <t>26.19 der.</t>
        </is>
      </c>
      <c r="F40" s="27" t="n">
        <v>16024.97</v>
      </c>
      <c r="G40" s="19">
        <f>D40*F40</f>
        <v/>
      </c>
      <c r="H40" s="16" t="inlineStr">
        <is>
          <t>PRICED</t>
        </is>
      </c>
      <c r="I40" s="20" t="inlineStr">
        <is>
          <t>Circular 250 walls.  The SSR has no curved-formwork item; 26.19 is 'of required thickness' and is the closest published item</t>
        </is>
      </c>
    </row>
    <row r="41" ht="20" customHeight="1">
      <c r="A41" s="15" t="inlineStr">
        <is>
          <t>C-13</t>
        </is>
      </c>
      <c r="B41" s="16" t="inlineStr">
        <is>
          <t>Local thickenings of the pressure slab 900 -&gt; 1200 at openings (M35)</t>
        </is>
      </c>
      <c r="C41" s="16" t="inlineStr">
        <is>
          <t>m3</t>
        </is>
      </c>
      <c r="D41" s="17" t="n">
        <v>3.331</v>
      </c>
      <c r="E41" s="16" t="inlineStr">
        <is>
          <t>25.76</t>
        </is>
      </c>
      <c r="F41" s="18" t="n">
        <v>14391</v>
      </c>
      <c r="G41" s="19">
        <f>D41*F41</f>
        <v/>
      </c>
      <c r="H41" s="16" t="inlineStr">
        <is>
          <t>PRICED</t>
        </is>
      </c>
      <c r="I41" s="20" t="inlineStr">
        <is>
          <t>Slab work</t>
        </is>
      </c>
    </row>
    <row r="42" ht="20" customHeight="1">
      <c r="A42" s="28" t="inlineStr">
        <is>
          <t>C-14</t>
        </is>
      </c>
      <c r="B42" s="29" t="inlineStr">
        <is>
          <t>Internal partitions W8, 4 No., 110 thk, non-structural (M35)</t>
        </is>
      </c>
      <c r="C42" s="29" t="inlineStr">
        <is>
          <t>m3</t>
        </is>
      </c>
      <c r="D42" s="30" t="n">
        <v>6.208</v>
      </c>
      <c r="E42" s="29" t="inlineStr">
        <is>
          <t>26.19 der.</t>
        </is>
      </c>
      <c r="F42" s="31" t="n">
        <v>16024.97</v>
      </c>
      <c r="G42" s="32">
        <f>D42*F42</f>
        <v/>
      </c>
      <c r="H42" s="29" t="inlineStr">
        <is>
          <t>PRICED [A] — stated assumption</t>
        </is>
      </c>
      <c r="I42" s="33" t="inlineStr">
        <is>
          <t>[A] W8 is non-structural with A252 mesh both faces; the project states NO GRADE and WM1 measured it as M35 with the rest of the box (tagged [A] there).  That tag is carried, not resolved</t>
        </is>
      </c>
    </row>
    <row r="43">
      <c r="A43" s="41" t="n"/>
      <c r="B43" s="42" t="inlineStr">
        <is>
          <t>SUB-TOTAL — B</t>
        </is>
      </c>
      <c r="C43" s="41" t="n"/>
      <c r="D43" s="41" t="n"/>
      <c r="E43" s="41" t="n"/>
      <c r="F43" s="41" t="n"/>
      <c r="G43" s="43">
        <f>SUM(G28:G42)</f>
        <v/>
      </c>
      <c r="H43" s="41" t="n"/>
      <c r="I43" s="41" t="n"/>
    </row>
    <row r="45">
      <c r="A45" s="3" t="inlineStr">
        <is>
          <t>C · REINFORCEMENT — ALL WORKS</t>
        </is>
      </c>
    </row>
    <row r="46" ht="20" customHeight="1">
      <c r="A46" s="15" t="inlineStr">
        <is>
          <t>R-T8</t>
        </is>
      </c>
      <c r="B46" s="16" t="inlineStr">
        <is>
          <t>Reinforcement T8 Fe500D, shelter and entry structures</t>
        </is>
      </c>
      <c r="C46" s="16" t="inlineStr">
        <is>
          <t>t</t>
        </is>
      </c>
      <c r="D46" s="17" t="n">
        <v>0.006</v>
      </c>
      <c r="E46" s="16" t="inlineStr">
        <is>
          <t>26.33</t>
        </is>
      </c>
      <c r="F46" s="18" t="n">
        <v>89703</v>
      </c>
      <c r="G46" s="19">
        <f>D46*F46</f>
        <v/>
      </c>
      <c r="H46" s="16" t="inlineStr">
        <is>
          <t>PRICED</t>
        </is>
      </c>
      <c r="I46" s="20" t="inlineStr">
        <is>
          <t>TMT Fe-500, cut, bent, hooked, tied and FIXED IN POSITION.  The SSR measures the fixed weight, which is the net weight scheduled here</t>
        </is>
      </c>
    </row>
    <row r="47" ht="20" customHeight="1">
      <c r="A47" s="15" t="inlineStr">
        <is>
          <t>R-T10</t>
        </is>
      </c>
      <c r="B47" s="16" t="inlineStr">
        <is>
          <t>Reinforcement T10 Fe500D, shelter and entry structures</t>
        </is>
      </c>
      <c r="C47" s="16" t="inlineStr">
        <is>
          <t>t</t>
        </is>
      </c>
      <c r="D47" s="17" t="n">
        <v>0.063</v>
      </c>
      <c r="E47" s="16" t="inlineStr">
        <is>
          <t>26.33</t>
        </is>
      </c>
      <c r="F47" s="18" t="n">
        <v>89703</v>
      </c>
      <c r="G47" s="19">
        <f>D47*F47</f>
        <v/>
      </c>
      <c r="H47" s="16" t="inlineStr">
        <is>
          <t>PRICED</t>
        </is>
      </c>
      <c r="I47" s="20" t="inlineStr">
        <is>
          <t>TMT Fe-500, cut, bent, hooked, tied and FIXED IN POSITION.  The SSR measures the fixed weight, which is the net weight scheduled here</t>
        </is>
      </c>
    </row>
    <row r="48" ht="20" customHeight="1">
      <c r="A48" s="15" t="inlineStr">
        <is>
          <t>R-T12</t>
        </is>
      </c>
      <c r="B48" s="16" t="inlineStr">
        <is>
          <t>Reinforcement T12 Fe500D, shelter and entry structures</t>
        </is>
      </c>
      <c r="C48" s="16" t="inlineStr">
        <is>
          <t>t</t>
        </is>
      </c>
      <c r="D48" s="17" t="n">
        <v>20.318</v>
      </c>
      <c r="E48" s="16" t="inlineStr">
        <is>
          <t>26.33</t>
        </is>
      </c>
      <c r="F48" s="18" t="n">
        <v>89703</v>
      </c>
      <c r="G48" s="19">
        <f>D48*F48</f>
        <v/>
      </c>
      <c r="H48" s="16" t="inlineStr">
        <is>
          <t>PRICED</t>
        </is>
      </c>
      <c r="I48" s="20" t="inlineStr">
        <is>
          <t>TMT Fe-500, cut, bent, hooked, tied and FIXED IN POSITION.  The SSR measures the fixed weight, which is the net weight scheduled here</t>
        </is>
      </c>
    </row>
    <row r="49" ht="20" customHeight="1">
      <c r="A49" s="15" t="inlineStr">
        <is>
          <t>R-T16</t>
        </is>
      </c>
      <c r="B49" s="16" t="inlineStr">
        <is>
          <t>Reinforcement T16 Fe500D, shelter and entry structures</t>
        </is>
      </c>
      <c r="C49" s="16" t="inlineStr">
        <is>
          <t>t</t>
        </is>
      </c>
      <c r="D49" s="17" t="n">
        <v>23.707</v>
      </c>
      <c r="E49" s="16" t="inlineStr">
        <is>
          <t>26.33</t>
        </is>
      </c>
      <c r="F49" s="18" t="n">
        <v>89703</v>
      </c>
      <c r="G49" s="19">
        <f>D49*F49</f>
        <v/>
      </c>
      <c r="H49" s="16" t="inlineStr">
        <is>
          <t>PRICED</t>
        </is>
      </c>
      <c r="I49" s="20" t="inlineStr">
        <is>
          <t>TMT Fe-500, cut, bent, hooked, tied and FIXED IN POSITION.  The SSR measures the fixed weight, which is the net weight scheduled here</t>
        </is>
      </c>
    </row>
    <row r="50" ht="20" customHeight="1">
      <c r="A50" s="15" t="inlineStr">
        <is>
          <t>R-T20</t>
        </is>
      </c>
      <c r="B50" s="16" t="inlineStr">
        <is>
          <t>Reinforcement T20 Fe500D, shelter and entry structures</t>
        </is>
      </c>
      <c r="C50" s="16" t="inlineStr">
        <is>
          <t>t</t>
        </is>
      </c>
      <c r="D50" s="17" t="n">
        <v>10.923</v>
      </c>
      <c r="E50" s="16" t="inlineStr">
        <is>
          <t>26.33</t>
        </is>
      </c>
      <c r="F50" s="18" t="n">
        <v>89703</v>
      </c>
      <c r="G50" s="19">
        <f>D50*F50</f>
        <v/>
      </c>
      <c r="H50" s="16" t="inlineStr">
        <is>
          <t>PRICED</t>
        </is>
      </c>
      <c r="I50" s="20" t="inlineStr">
        <is>
          <t>TMT Fe-500, cut, bent, hooked, tied and FIXED IN POSITION.  The SSR measures the fixed weight, which is the net weight scheduled here</t>
        </is>
      </c>
    </row>
    <row r="51" ht="20" customHeight="1">
      <c r="A51" s="15" t="inlineStr">
        <is>
          <t>R-T25</t>
        </is>
      </c>
      <c r="B51" s="16" t="inlineStr">
        <is>
          <t>Reinforcement T25 Fe500D, shelter and entry structures</t>
        </is>
      </c>
      <c r="C51" s="16" t="inlineStr">
        <is>
          <t>t</t>
        </is>
      </c>
      <c r="D51" s="17" t="n">
        <v>15.439</v>
      </c>
      <c r="E51" s="16" t="inlineStr">
        <is>
          <t>26.33</t>
        </is>
      </c>
      <c r="F51" s="18" t="n">
        <v>89703</v>
      </c>
      <c r="G51" s="19">
        <f>D51*F51</f>
        <v/>
      </c>
      <c r="H51" s="16" t="inlineStr">
        <is>
          <t>PRICED</t>
        </is>
      </c>
      <c r="I51" s="20" t="inlineStr">
        <is>
          <t>TMT Fe-500, cut, bent, hooked, tied and FIXED IN POSITION.  The SSR measures the fixed weight, which is the net weight scheduled here</t>
        </is>
      </c>
    </row>
    <row r="52" ht="20" customHeight="1">
      <c r="A52" s="15" t="inlineStr">
        <is>
          <t>R-BS</t>
        </is>
      </c>
      <c r="B52" s="16" t="inlineStr">
        <is>
          <t>Reinforcement T12 Fe500 to the burster slab (M30)</t>
        </is>
      </c>
      <c r="C52" s="16" t="inlineStr">
        <is>
          <t>t</t>
        </is>
      </c>
      <c r="D52" s="17" t="n">
        <v>1.218</v>
      </c>
      <c r="E52" s="16" t="inlineStr">
        <is>
          <t>26.33</t>
        </is>
      </c>
      <c r="F52" s="18" t="n">
        <v>89703</v>
      </c>
      <c r="G52" s="19">
        <f>D52*F52</f>
        <v/>
      </c>
      <c r="H52" s="16" t="inlineStr">
        <is>
          <t>PRICED</t>
        </is>
      </c>
      <c r="I52" s="20" t="inlineStr">
        <is>
          <t>TMT Fe-500, cut, bent, hooked, tied and FIXED IN POSITION.  The SSR measures the fixed weight, which is the net weight scheduled here</t>
        </is>
      </c>
    </row>
    <row r="53" ht="20" customHeight="1">
      <c r="A53" s="15" t="inlineStr">
        <is>
          <t>R-S8</t>
        </is>
      </c>
      <c r="B53" s="16" t="inlineStr">
        <is>
          <t>Reinforcement T8 Fe500, sentry post</t>
        </is>
      </c>
      <c r="C53" s="16" t="inlineStr">
        <is>
          <t>t</t>
        </is>
      </c>
      <c r="D53" s="17" t="n">
        <v>0.645</v>
      </c>
      <c r="E53" s="16" t="inlineStr">
        <is>
          <t>26.33</t>
        </is>
      </c>
      <c r="F53" s="18" t="n">
        <v>89703</v>
      </c>
      <c r="G53" s="19">
        <f>D53*F53</f>
        <v/>
      </c>
      <c r="H53" s="16" t="inlineStr">
        <is>
          <t>PRICED</t>
        </is>
      </c>
      <c r="I53" s="20" t="inlineStr">
        <is>
          <t>TMT Fe-500, cut, bent, hooked, tied and FIXED IN POSITION.  The SSR measures the fixed weight, which is the net weight scheduled here</t>
        </is>
      </c>
    </row>
    <row r="54" ht="20" customHeight="1">
      <c r="A54" s="15" t="inlineStr">
        <is>
          <t>R-S10</t>
        </is>
      </c>
      <c r="B54" s="16" t="inlineStr">
        <is>
          <t>Reinforcement T10 Fe500, sentry post</t>
        </is>
      </c>
      <c r="C54" s="16" t="inlineStr">
        <is>
          <t>t</t>
        </is>
      </c>
      <c r="D54" s="17" t="n">
        <v>0.245</v>
      </c>
      <c r="E54" s="16" t="inlineStr">
        <is>
          <t>26.33</t>
        </is>
      </c>
      <c r="F54" s="18" t="n">
        <v>89703</v>
      </c>
      <c r="G54" s="19">
        <f>D54*F54</f>
        <v/>
      </c>
      <c r="H54" s="16" t="inlineStr">
        <is>
          <t>PRICED</t>
        </is>
      </c>
      <c r="I54" s="20" t="inlineStr">
        <is>
          <t>TMT Fe-500, cut, bent, hooked, tied and FIXED IN POSITION.  The SSR measures the fixed weight, which is the net weight scheduled here</t>
        </is>
      </c>
    </row>
    <row r="55" ht="20" customHeight="1">
      <c r="A55" s="15" t="inlineStr">
        <is>
          <t>R-S12</t>
        </is>
      </c>
      <c r="B55" s="16" t="inlineStr">
        <is>
          <t>Reinforcement T12 Fe500, sentry post</t>
        </is>
      </c>
      <c r="C55" s="16" t="inlineStr">
        <is>
          <t>t</t>
        </is>
      </c>
      <c r="D55" s="17" t="n">
        <v>0.19</v>
      </c>
      <c r="E55" s="16" t="inlineStr">
        <is>
          <t>26.33</t>
        </is>
      </c>
      <c r="F55" s="18" t="n">
        <v>89703</v>
      </c>
      <c r="G55" s="19">
        <f>D55*F55</f>
        <v/>
      </c>
      <c r="H55" s="16" t="inlineStr">
        <is>
          <t>PRICED</t>
        </is>
      </c>
      <c r="I55" s="20" t="inlineStr">
        <is>
          <t>TMT Fe-500, cut, bent, hooked, tied and FIXED IN POSITION.  The SSR measures the fixed weight, which is the net weight scheduled here</t>
        </is>
      </c>
    </row>
    <row r="56" ht="20" customHeight="1">
      <c r="A56" s="15" t="inlineStr">
        <is>
          <t>R-S16</t>
        </is>
      </c>
      <c r="B56" s="16" t="inlineStr">
        <is>
          <t>Reinforcement T16 Fe500, sentry post</t>
        </is>
      </c>
      <c r="C56" s="16" t="inlineStr">
        <is>
          <t>t</t>
        </is>
      </c>
      <c r="D56" s="17" t="n">
        <v>0.624</v>
      </c>
      <c r="E56" s="16" t="inlineStr">
        <is>
          <t>26.33</t>
        </is>
      </c>
      <c r="F56" s="18" t="n">
        <v>89703</v>
      </c>
      <c r="G56" s="19">
        <f>D56*F56</f>
        <v/>
      </c>
      <c r="H56" s="16" t="inlineStr">
        <is>
          <t>PRICED</t>
        </is>
      </c>
      <c r="I56" s="20" t="inlineStr">
        <is>
          <t>TMT Fe-500, cut, bent, hooked, tied and FIXED IN POSITION.  The SSR measures the fixed weight, which is the net weight scheduled here</t>
        </is>
      </c>
    </row>
    <row r="57" ht="20" customHeight="1">
      <c r="A57" s="15" t="inlineStr">
        <is>
          <t>R-S20</t>
        </is>
      </c>
      <c r="B57" s="16" t="inlineStr">
        <is>
          <t>Reinforcement T20 Fe500, sentry post</t>
        </is>
      </c>
      <c r="C57" s="16" t="inlineStr">
        <is>
          <t>t</t>
        </is>
      </c>
      <c r="D57" s="17" t="n">
        <v>0.269</v>
      </c>
      <c r="E57" s="16" t="inlineStr">
        <is>
          <t>26.33</t>
        </is>
      </c>
      <c r="F57" s="18" t="n">
        <v>89703</v>
      </c>
      <c r="G57" s="19">
        <f>D57*F57</f>
        <v/>
      </c>
      <c r="H57" s="16" t="inlineStr">
        <is>
          <t>PRICED</t>
        </is>
      </c>
      <c r="I57" s="20" t="inlineStr">
        <is>
          <t>TMT Fe-500, cut, bent, hooked, tied and FIXED IN POSITION.  The SSR measures the fixed weight, which is the net weight scheduled here</t>
        </is>
      </c>
    </row>
    <row r="58" ht="30" customHeight="1">
      <c r="A58" s="21" t="inlineStr">
        <is>
          <t>R-ORD</t>
        </is>
      </c>
      <c r="B58" s="22" t="inlineStr">
        <is>
          <t>Reinforcement ORDER quantity, all works, incl. 5 % wastage</t>
        </is>
      </c>
      <c r="C58" s="22" t="inlineStr">
        <is>
          <t>t</t>
        </is>
      </c>
      <c r="D58" s="23" t="n">
        <v>77.33</v>
      </c>
      <c r="E58" s="22" t="inlineStr">
        <is>
          <t>—</t>
        </is>
      </c>
      <c r="F58" s="24" t="n"/>
      <c r="G58" s="25" t="n"/>
      <c r="H58" s="22" t="inlineStr">
        <is>
          <t>INCLUDED — not separately payable</t>
        </is>
      </c>
      <c r="I58" s="26" t="inlineStr">
        <is>
          <t>PROCUREMENT MEMORANDUM, NOT A PAYABLE ITEM.  SSR 26.33 is paid on the weight fixed in position — 73.647 t, the sum of the twelve lines above.  77.33 / 1.05 = 73.648, so the two figures agree exactly.  Wastage is inside the SSR rate and must not be paid a second time</t>
        </is>
      </c>
    </row>
    <row r="59">
      <c r="A59" s="41" t="n"/>
      <c r="B59" s="42" t="inlineStr">
        <is>
          <t>SUB-TOTAL — C</t>
        </is>
      </c>
      <c r="C59" s="41" t="n"/>
      <c r="D59" s="41" t="n"/>
      <c r="E59" s="41" t="n"/>
      <c r="F59" s="41" t="n"/>
      <c r="G59" s="43">
        <f>SUM(G46:G58)</f>
        <v/>
      </c>
      <c r="H59" s="41" t="n"/>
      <c r="I59" s="41" t="n"/>
    </row>
    <row r="61">
      <c r="A61" s="3" t="inlineStr">
        <is>
          <t>D · FORMWORK AND FALSEWORK</t>
        </is>
      </c>
    </row>
    <row r="62" ht="40" customHeight="1">
      <c r="A62" s="21" t="inlineStr">
        <is>
          <t>F-01</t>
        </is>
      </c>
      <c r="B62" s="22" t="inlineStr">
        <is>
          <t>Formwork, shelter and entry structures, contact area</t>
        </is>
      </c>
      <c r="C62" s="22" t="inlineStr">
        <is>
          <t>m2</t>
        </is>
      </c>
      <c r="D62" s="23" t="n">
        <v>1057.743</v>
      </c>
      <c r="E62" s="22" t="inlineStr">
        <is>
          <t>—</t>
        </is>
      </c>
      <c r="F62" s="24" t="n"/>
      <c r="G62" s="25" t="n"/>
      <c r="H62" s="22" t="inlineStr">
        <is>
          <t>INCLUDED — not separately payable</t>
        </is>
      </c>
      <c r="I62" s="26" t="inlineStr">
        <is>
          <t>INCLUDED IN EVERY CONCRETE RATE ABOVE.  SSR items 24.04, 25.15, 25.17, 25.35, 25.54, 25.74, 25.76, 26.19 and 26.26 each read 'including STEEL CENTERING, FORMWORK, cover blocks'.  Paying F-01 separately would pay for the same formwork twice.  The quantity stands as a measured control figure</t>
        </is>
      </c>
    </row>
    <row r="63" ht="20" customHeight="1">
      <c r="A63" s="21" t="inlineStr">
        <is>
          <t>F-02</t>
        </is>
      </c>
      <c r="B63" s="22" t="inlineStr">
        <is>
          <t>Falsework to the pressure slab soffit, 3.200 m height, props to remain 14 days (IS 456 Table 11)</t>
        </is>
      </c>
      <c r="C63" s="22" t="inlineStr">
        <is>
          <t>m2</t>
        </is>
      </c>
      <c r="D63" s="23" t="n">
        <v>104</v>
      </c>
      <c r="E63" s="22" t="inlineStr">
        <is>
          <t>—</t>
        </is>
      </c>
      <c r="F63" s="24" t="n"/>
      <c r="G63" s="25" t="n"/>
      <c r="H63" s="22" t="inlineStr">
        <is>
          <t>INCLUDED — not separately payable</t>
        </is>
      </c>
      <c r="I63" s="26" t="inlineStr">
        <is>
          <t>INCLUDED, as F-01.  The 14-day prop period remains a PROGRAMME driver even though it is not a separately payable item</t>
        </is>
      </c>
    </row>
    <row r="64">
      <c r="A64" s="41" t="n"/>
      <c r="B64" s="42" t="inlineStr">
        <is>
          <t>SUB-TOTAL — D</t>
        </is>
      </c>
      <c r="C64" s="41" t="n"/>
      <c r="D64" s="41" t="n"/>
      <c r="E64" s="41" t="n"/>
      <c r="F64" s="41" t="n"/>
      <c r="G64" s="43">
        <f>SUM(G62:G63)</f>
        <v/>
      </c>
      <c r="H64" s="41" t="n"/>
      <c r="I64" s="41" t="n"/>
    </row>
    <row r="66">
      <c r="A66" s="3" t="inlineStr">
        <is>
          <t>E · ENGINEERED COVER, OVERBURDEN AND CONCEALMENT</t>
        </is>
      </c>
    </row>
    <row r="67" ht="20" customHeight="1">
      <c r="A67" s="15" t="inlineStr">
        <is>
          <t>B-screed</t>
        </is>
      </c>
      <c r="B67" s="16" t="inlineStr">
        <is>
          <t>Protection screed 100 over the membrane (cover layer 1)</t>
        </is>
      </c>
      <c r="C67" s="16" t="inlineStr">
        <is>
          <t>m3</t>
        </is>
      </c>
      <c r="D67" s="17" t="n">
        <v>10.289</v>
      </c>
      <c r="E67" s="16" t="inlineStr">
        <is>
          <t>24.04</t>
        </is>
      </c>
      <c r="F67" s="18" t="n">
        <v>6359</v>
      </c>
      <c r="G67" s="19">
        <f>D67*F67</f>
        <v/>
      </c>
      <c r="H67" s="16" t="inlineStr">
        <is>
          <t>PRICED</t>
        </is>
      </c>
      <c r="I67" s="20" t="inlineStr">
        <is>
          <t>M15 bedding concrete.  THIS IS THE SAME WORK AS ITEM W-05, which is measured in m2 — 102.889 x 0.100 = 10.289.  Paid here ONCE</t>
        </is>
      </c>
    </row>
    <row r="68" ht="13" customHeight="1">
      <c r="A68" s="15" t="inlineStr">
        <is>
          <t>B-fill</t>
        </is>
      </c>
      <c r="B68" s="16" t="inlineStr">
        <is>
          <t>Compacted engineered fill @ 95 % MDD</t>
        </is>
      </c>
      <c r="C68" s="16" t="inlineStr">
        <is>
          <t>m3</t>
        </is>
      </c>
      <c r="D68" s="17" t="n">
        <v>77.167</v>
      </c>
      <c r="E68" s="16" t="inlineStr">
        <is>
          <t>21.37</t>
        </is>
      </c>
      <c r="F68" s="18" t="n">
        <v>599</v>
      </c>
      <c r="G68" s="19">
        <f>D68*F68</f>
        <v/>
      </c>
      <c r="H68" s="16" t="inlineStr">
        <is>
          <t>PRICED</t>
        </is>
      </c>
      <c r="I68" s="20" t="inlineStr">
        <is>
          <t>As E-07</t>
        </is>
      </c>
    </row>
    <row r="69" ht="20" customHeight="1">
      <c r="A69" s="15" t="inlineStr">
        <is>
          <t>B-rubble</t>
        </is>
      </c>
      <c r="B69" s="16" t="inlineStr">
        <is>
          <t>Crushed basalt rubble 25-75 mm</t>
        </is>
      </c>
      <c r="C69" s="16" t="inlineStr">
        <is>
          <t>m3</t>
        </is>
      </c>
      <c r="D69" s="17" t="n">
        <v>51.445</v>
      </c>
      <c r="E69" s="16" t="inlineStr">
        <is>
          <t>21.38</t>
        </is>
      </c>
      <c r="F69" s="18" t="n">
        <v>1382</v>
      </c>
      <c r="G69" s="19">
        <f>D69*F69</f>
        <v/>
      </c>
      <c r="H69" s="16" t="inlineStr">
        <is>
          <t>PRICED</t>
        </is>
      </c>
      <c r="I69" s="20" t="inlineStr">
        <is>
          <t>Trap rubble stone soling, hand packed and compacted.  SEE THE CREDIT LINE BELOW — this material is to be won from the project's own rock excavation</t>
        </is>
      </c>
    </row>
    <row r="70" ht="50" customHeight="1">
      <c r="A70" s="21" t="inlineStr">
        <is>
          <t>B-rubble-cr</t>
        </is>
      </c>
      <c r="B70" s="22" t="inlineStr">
        <is>
          <t xml:space="preserve">  CREDIT if the rubble is won on site and crushed, as the quantity derivation directs</t>
        </is>
      </c>
      <c r="C70" s="22" t="inlineStr">
        <is>
          <t>m3</t>
        </is>
      </c>
      <c r="D70" s="23" t="n">
        <v>51.445</v>
      </c>
      <c r="E70" s="22" t="inlineStr">
        <is>
          <t>21.38</t>
        </is>
      </c>
      <c r="F70" s="24" t="n"/>
      <c r="G70" s="25" t="n"/>
      <c r="H70" s="22" t="inlineStr">
        <is>
          <t>INCLUDED — not separately payable</t>
        </is>
      </c>
      <c r="I70" s="26" t="inlineStr">
        <is>
          <t>MEMORANDUM, NOT DEDUCTED.  994 m3 of basalt comes out of E-02b against 51.4 m3 needed.  The SSR labour component of 21.38 is Rs 432 against the completed Rs 1 382, so winning it on site is worth about 51.445 x (1382 - 432) = Rs 48 873, and removes 51 m3 of import AND 51 m3 of cart-away.  Left in the bill at the full SSR rate because the crushing plant is not in the project record</t>
        </is>
      </c>
    </row>
    <row r="71" ht="30" customHeight="1">
      <c r="A71" s="15" t="inlineStr">
        <is>
          <t>B-burster</t>
        </is>
      </c>
      <c r="B71" s="16" t="inlineStr">
        <is>
          <t>RC burster slab M30, T12 @ 150 B/W, 200 thk</t>
        </is>
      </c>
      <c r="C71" s="16" t="inlineStr">
        <is>
          <t>m3</t>
        </is>
      </c>
      <c r="D71" s="17" t="n">
        <v>20.578</v>
      </c>
      <c r="E71" s="16" t="inlineStr">
        <is>
          <t>25.15</t>
        </is>
      </c>
      <c r="F71" s="18" t="n">
        <v>7471</v>
      </c>
      <c r="G71" s="19">
        <f>D71*F71</f>
        <v/>
      </c>
      <c r="H71" s="16" t="inlineStr">
        <is>
          <t>PRICED</t>
        </is>
      </c>
      <c r="I71" s="20" t="inlineStr">
        <is>
          <t>Ground-supported: it is cast on the 500 crushed-rubble layer, and its own formwork measure is EDGE ONLY, 11.3 m2.  So the raft item 25.15 governs, not the suspended-slab item 25.74 (M-30, Rs 14 299)</t>
        </is>
      </c>
    </row>
    <row r="72" ht="30" customHeight="1">
      <c r="A72" s="28" t="inlineStr">
        <is>
          <t>B-filter</t>
        </is>
      </c>
      <c r="B72" s="29" t="inlineStr">
        <is>
          <t>Granular filter, 150 thk</t>
        </is>
      </c>
      <c r="C72" s="29" t="inlineStr">
        <is>
          <t>m3</t>
        </is>
      </c>
      <c r="D72" s="30" t="n">
        <v>15.433</v>
      </c>
      <c r="E72" s="29" t="inlineStr">
        <is>
          <t>21.39</t>
        </is>
      </c>
      <c r="F72" s="34" t="n">
        <v>2160</v>
      </c>
      <c r="G72" s="32">
        <f>D72*F72</f>
        <v/>
      </c>
      <c r="H72" s="29" t="inlineStr">
        <is>
          <t>PRICED [A] — stated assumption</t>
        </is>
      </c>
      <c r="I72" s="33" t="inlineStr">
        <is>
          <t>[A] SSR 21.39 sand filling is the nearest published item and carries the condition 'to be executed with prior approval of the Superintending Engineer'.  The project specifies no filter grading — no gradation is invented here</t>
        </is>
      </c>
    </row>
    <row r="73" ht="30" customHeight="1">
      <c r="A73" s="15" t="inlineStr">
        <is>
          <t>B-concealment</t>
        </is>
      </c>
      <c r="B73" s="16" t="inlineStr">
        <is>
          <t>Topsoil / turf — concealment and erosion, 300 thk</t>
        </is>
      </c>
      <c r="C73" s="16" t="inlineStr">
        <is>
          <t>m3</t>
        </is>
      </c>
      <c r="D73" s="17" t="n">
        <v>30.867</v>
      </c>
      <c r="E73" s="16" t="inlineStr">
        <is>
          <t>21.36</t>
        </is>
      </c>
      <c r="F73" s="18" t="n">
        <v>120</v>
      </c>
      <c r="G73" s="19">
        <f>D73*F73</f>
        <v/>
      </c>
      <c r="H73" s="16" t="inlineStr">
        <is>
          <t>PRICED</t>
        </is>
      </c>
      <c r="I73" s="20" t="inlineStr">
        <is>
          <t>Filling with APPROVED EXCAVATED MATERIAL, watered and compacted — exactly the 92.82 m3 stripped and stockpiled at E-01a, of which 30.867 is used.  TURFING ITSELF IS NOT IN THE SSR: the schedule directs Parks and Gardens wing rates for that, which this project does not hold</t>
        </is>
      </c>
    </row>
    <row r="74" ht="20" customHeight="1">
      <c r="A74" s="35" t="inlineStr">
        <is>
          <t>B-berm</t>
        </is>
      </c>
      <c r="B74" s="36" t="inlineStr">
        <is>
          <t>Berm forming and grading, 1.5:1 to +0.900 against the headhouse and covered stairwell</t>
        </is>
      </c>
      <c r="C74" s="36" t="inlineStr">
        <is>
          <t>m3</t>
        </is>
      </c>
      <c r="D74" s="37" t="n"/>
      <c r="E74" s="36" t="inlineStr">
        <is>
          <t>21.36</t>
        </is>
      </c>
      <c r="F74" s="44" t="n"/>
      <c r="G74" s="39" t="n"/>
      <c r="H74" s="36" t="inlineStr">
        <is>
          <t>NOT PRICED</t>
        </is>
      </c>
      <c r="I74" s="40" t="inlineStr">
        <is>
          <t>NOT PRICED.  NO QUANTITY EXISTS — no site plan and no ground model is in the project (Drainage open item D3).  A rate is available (SSR 21.36, Rs 120/m3) the moment a quantity does</t>
        </is>
      </c>
    </row>
    <row r="75" ht="20" customHeight="1">
      <c r="A75" s="35" t="inlineStr">
        <is>
          <t>B-camo</t>
        </is>
      </c>
      <c r="B75" s="36" t="inlineStr">
        <is>
          <t>Camouflage and concealment measures beyond the 300 topsoil / turf layer</t>
        </is>
      </c>
      <c r="C75" s="36" t="inlineStr">
        <is>
          <t>item</t>
        </is>
      </c>
      <c r="D75" s="37" t="n"/>
      <c r="E75" s="36" t="inlineStr">
        <is>
          <t>—</t>
        </is>
      </c>
      <c r="F75" s="44" t="n"/>
      <c r="G75" s="39" t="n"/>
      <c r="H75" s="36" t="inlineStr">
        <is>
          <t>NOT PRICED</t>
        </is>
      </c>
      <c r="I75" s="40" t="inlineStr">
        <is>
          <t>NOT PRICED and NOT IN THE SSR.  No concealment specification exists in the project.  SSR General Notes Section B: rates not in the schedule are to be approved by the Superintending Engineer</t>
        </is>
      </c>
    </row>
    <row r="76">
      <c r="A76" s="41" t="n"/>
      <c r="B76" s="42" t="inlineStr">
        <is>
          <t>SUB-TOTAL — E</t>
        </is>
      </c>
      <c r="C76" s="41" t="n"/>
      <c r="D76" s="41" t="n"/>
      <c r="E76" s="41" t="n"/>
      <c r="F76" s="41" t="n"/>
      <c r="G76" s="43">
        <f>SUM(G67:G75)</f>
        <v/>
      </c>
      <c r="H76" s="41" t="n"/>
      <c r="I76" s="41" t="n"/>
    </row>
    <row r="78">
      <c r="A78" s="3" t="inlineStr">
        <is>
          <t>F · WATERPROOFING</t>
        </is>
      </c>
    </row>
    <row r="79" ht="50" customHeight="1">
      <c r="A79" s="28" t="inlineStr">
        <is>
          <t>W-01</t>
        </is>
      </c>
      <c r="B79" s="29" t="inlineStr">
        <is>
          <t>WP-01 tanking, horizontal on blinding under the mat</t>
        </is>
      </c>
      <c r="C79" s="29" t="inlineStr">
        <is>
          <t>m2</t>
        </is>
      </c>
      <c r="D79" s="30" t="n">
        <v>142.08</v>
      </c>
      <c r="E79" s="29" t="inlineStr">
        <is>
          <t>51.114</t>
        </is>
      </c>
      <c r="F79" s="34" t="n">
        <v>678</v>
      </c>
      <c r="G79" s="32">
        <f>D79*F79</f>
        <v/>
      </c>
      <c r="H79" s="29" t="inlineStr">
        <is>
          <t>PRICED [A] — stated assumption</t>
        </is>
      </c>
      <c r="I79" s="33" t="inlineStr">
        <is>
          <t>[A] SPECIFICATION SUBSTITUTION.  WP-01 is a continuous external tanking MEMBRANE (FINISH_LEGEND).  SSR 51.114 is a five-layer polymeric membrane on a 90 micron HMHDPE core — the material matches; the SSR describes it applied to roof and parapet, not below grade.  The SSR's own below-grade item, 31.12, is a rough shahabad BOX treatment at Rs 1 286 — a different specification, carried in the workbook as the alternative</t>
        </is>
      </c>
    </row>
    <row r="80" ht="20" customHeight="1">
      <c r="A80" s="28" t="inlineStr">
        <is>
          <t>W-02</t>
        </is>
      </c>
      <c r="B80" s="29" t="inlineStr">
        <is>
          <t>WP-01 tanking, vertical to external wall faces, (-)6.700 to (-)2.000</t>
        </is>
      </c>
      <c r="C80" s="29" t="inlineStr">
        <is>
          <t>m2</t>
        </is>
      </c>
      <c r="D80" s="30" t="n">
        <v>265.08</v>
      </c>
      <c r="E80" s="29" t="inlineStr">
        <is>
          <t>51.114</t>
        </is>
      </c>
      <c r="F80" s="34" t="n">
        <v>678</v>
      </c>
      <c r="G80" s="32">
        <f>D80*F80</f>
        <v/>
      </c>
      <c r="H80" s="29" t="inlineStr">
        <is>
          <t>PRICED [A] — stated assumption</t>
        </is>
      </c>
      <c r="I80" s="33" t="inlineStr">
        <is>
          <t>[A] As W-01.  SSR alternative for vertical basement faces is 31.13, Rs 1 338</t>
        </is>
      </c>
    </row>
    <row r="81" ht="20" customHeight="1">
      <c r="A81" s="28" t="inlineStr">
        <is>
          <t>W-03</t>
        </is>
      </c>
      <c r="B81" s="29" t="inlineStr">
        <is>
          <t>WP-01 tanking, roof membrane, net of the void and shafts</t>
        </is>
      </c>
      <c r="C81" s="29" t="inlineStr">
        <is>
          <t>m2</t>
        </is>
      </c>
      <c r="D81" s="30" t="n">
        <v>121.881</v>
      </c>
      <c r="E81" s="29" t="inlineStr">
        <is>
          <t>51.114</t>
        </is>
      </c>
      <c r="F81" s="34" t="n">
        <v>678</v>
      </c>
      <c r="G81" s="32">
        <f>D81*F81</f>
        <v/>
      </c>
      <c r="H81" s="29" t="inlineStr">
        <is>
          <t>PRICED [A] — stated assumption</t>
        </is>
      </c>
      <c r="I81" s="33" t="inlineStr">
        <is>
          <t>[A] As W-01</t>
        </is>
      </c>
    </row>
    <row r="82" ht="20" customHeight="1">
      <c r="A82" s="28" t="inlineStr">
        <is>
          <t>W-04</t>
        </is>
      </c>
      <c r="B82" s="29" t="inlineStr">
        <is>
          <t>WP-01 upstands, fillets and dressing to openings and penetrations</t>
        </is>
      </c>
      <c r="C82" s="29" t="inlineStr">
        <is>
          <t>m2</t>
        </is>
      </c>
      <c r="D82" s="30" t="n">
        <v>37.145</v>
      </c>
      <c r="E82" s="29" t="inlineStr">
        <is>
          <t>51.114</t>
        </is>
      </c>
      <c r="F82" s="34" t="n">
        <v>678</v>
      </c>
      <c r="G82" s="32">
        <f>D82*F82</f>
        <v/>
      </c>
      <c r="H82" s="29" t="inlineStr">
        <is>
          <t>PRICED [A] — stated assumption</t>
        </is>
      </c>
      <c r="I82" s="33" t="inlineStr">
        <is>
          <t>[A] As W-01</t>
        </is>
      </c>
    </row>
    <row r="83" ht="20" customHeight="1">
      <c r="A83" s="21" t="inlineStr">
        <is>
          <t>W-05</t>
        </is>
      </c>
      <c r="B83" s="22" t="inlineStr">
        <is>
          <t>WP-02 protection screed 100 over the roof membrane (also cover layer 1)</t>
        </is>
      </c>
      <c r="C83" s="22" t="inlineStr">
        <is>
          <t>m2</t>
        </is>
      </c>
      <c r="D83" s="23" t="n">
        <v>102.889</v>
      </c>
      <c r="E83" s="22" t="inlineStr">
        <is>
          <t>—</t>
        </is>
      </c>
      <c r="F83" s="24" t="n"/>
      <c r="G83" s="25" t="n"/>
      <c r="H83" s="22" t="inlineStr">
        <is>
          <t>INCLUDED — not separately payable</t>
        </is>
      </c>
      <c r="I83" s="26" t="inlineStr">
        <is>
          <t>THE SAME WORK AS B-screed, measured in m2 instead of m3.  Paid once, at B-screed.  102.889 x 0.100 = 10.289 m3</t>
        </is>
      </c>
    </row>
    <row r="84" ht="20" customHeight="1">
      <c r="A84" s="28" t="inlineStr">
        <is>
          <t>W-06</t>
        </is>
      </c>
      <c r="B84" s="29" t="inlineStr">
        <is>
          <t>WP-06 headhouse and stairwell roofs, external grade + protection</t>
        </is>
      </c>
      <c r="C84" s="29" t="inlineStr">
        <is>
          <t>m2</t>
        </is>
      </c>
      <c r="D84" s="30" t="n">
        <v>41.44</v>
      </c>
      <c r="E84" s="29" t="inlineStr">
        <is>
          <t>51.114 + 51.115</t>
        </is>
      </c>
      <c r="F84" s="31" t="n">
        <v>1068</v>
      </c>
      <c r="G84" s="32">
        <f>D84*F84</f>
        <v/>
      </c>
      <c r="H84" s="29" t="inlineStr">
        <is>
          <t>PRICED [A] — stated assumption</t>
        </is>
      </c>
      <c r="I84" s="33" t="inlineStr">
        <is>
          <t>[A] Membrane plus the SSR's own 20 mm mechanical protective layer</t>
        </is>
      </c>
    </row>
    <row r="85" ht="20" customHeight="1">
      <c r="A85" s="28" t="inlineStr">
        <is>
          <t>W-08</t>
        </is>
      </c>
      <c r="B85" s="29" t="inlineStr">
        <is>
          <t>WP-04 internal wet-area tanking, floors</t>
        </is>
      </c>
      <c r="C85" s="29" t="inlineStr">
        <is>
          <t>m2</t>
        </is>
      </c>
      <c r="D85" s="30" t="n">
        <v>26.8</v>
      </c>
      <c r="E85" s="29" t="inlineStr">
        <is>
          <t>31.09</t>
        </is>
      </c>
      <c r="F85" s="34" t="n">
        <v>615</v>
      </c>
      <c r="G85" s="32">
        <f>D85*F85</f>
        <v/>
      </c>
      <c r="H85" s="29" t="inlineStr">
        <is>
          <t>PRICED [A] — stated assumption</t>
        </is>
      </c>
      <c r="I85" s="33" t="inlineStr">
        <is>
          <t>[A] Acrylic polymer modified cement-based coating with fibre glass mesh — the SSR's tanking-under-finish item.  WP-04 names no product</t>
        </is>
      </c>
    </row>
    <row r="86" ht="13" customHeight="1">
      <c r="A86" s="28" t="inlineStr">
        <is>
          <t>W-09</t>
        </is>
      </c>
      <c r="B86" s="29" t="inlineStr">
        <is>
          <t>WP-04 internal wet-area tanking, walls, 2.000 high</t>
        </is>
      </c>
      <c r="C86" s="29" t="inlineStr">
        <is>
          <t>m2</t>
        </is>
      </c>
      <c r="D86" s="30" t="n">
        <v>81.44</v>
      </c>
      <c r="E86" s="29" t="inlineStr">
        <is>
          <t>31.09</t>
        </is>
      </c>
      <c r="F86" s="34" t="n">
        <v>615</v>
      </c>
      <c r="G86" s="32">
        <f>D86*F86</f>
        <v/>
      </c>
      <c r="H86" s="29" t="inlineStr">
        <is>
          <t>PRICED [A] — stated assumption</t>
        </is>
      </c>
      <c r="I86" s="33" t="inlineStr">
        <is>
          <t>[A] As W-08</t>
        </is>
      </c>
    </row>
    <row r="87" ht="30" customHeight="1">
      <c r="A87" s="35" t="inlineStr">
        <is>
          <t>W-10</t>
        </is>
      </c>
      <c r="B87" s="36" t="inlineStr">
        <is>
          <t>Waterstops, 2 No. at every construction joint (WP-05), ~6 m centres</t>
        </is>
      </c>
      <c r="C87" s="36" t="inlineStr">
        <is>
          <t>m</t>
        </is>
      </c>
      <c r="D87" s="37" t="n">
        <v>109.76</v>
      </c>
      <c r="E87" s="36" t="inlineStr">
        <is>
          <t>—</t>
        </is>
      </c>
      <c r="F87" s="44" t="n"/>
      <c r="G87" s="39" t="n"/>
      <c r="H87" s="36" t="inlineStr">
        <is>
          <t>NOT PRICED</t>
        </is>
      </c>
      <c r="I87" s="40" t="inlineStr">
        <is>
          <t>NOT PRICED.  THE SSR HAS NO WATERSTOP ITEM ANYWHERE IN 624 PAGES — searched for waterstop, water stop, water bar and PVC water bar.  Section B: the rate is to be approved by the Superintending Engineer.  The joint positions are also not fixed in the project ([A] in WM1)</t>
        </is>
      </c>
    </row>
    <row r="88">
      <c r="A88" s="41" t="n"/>
      <c r="B88" s="42" t="inlineStr">
        <is>
          <t>SUB-TOTAL — F</t>
        </is>
      </c>
      <c r="C88" s="41" t="n"/>
      <c r="D88" s="41" t="n"/>
      <c r="E88" s="41" t="n"/>
      <c r="F88" s="41" t="n"/>
      <c r="G88" s="43">
        <f>SUM(G79:G87)</f>
        <v/>
      </c>
      <c r="H88" s="41" t="n"/>
      <c r="I88" s="41" t="n"/>
    </row>
    <row r="90">
      <c r="A90" s="3" t="inlineStr">
        <is>
          <t>G · SENTRY POST — CONCRETE AND FRAME  (M30)</t>
        </is>
      </c>
    </row>
    <row r="91" ht="13" customHeight="1">
      <c r="A91" s="15" t="inlineStr">
        <is>
          <t>SC-01</t>
        </is>
      </c>
      <c r="B91" s="16" t="inlineStr">
        <is>
          <t>Sentry post: Footings F1, 4 No., 1500 x 1500 x 600</t>
        </is>
      </c>
      <c r="C91" s="16" t="inlineStr">
        <is>
          <t>m3</t>
        </is>
      </c>
      <c r="D91" s="17" t="n">
        <v>5.4</v>
      </c>
      <c r="E91" s="16" t="inlineStr">
        <is>
          <t>25.15</t>
        </is>
      </c>
      <c r="F91" s="18" t="n">
        <v>7471</v>
      </c>
      <c r="G91" s="19">
        <f>D91*F91</f>
        <v/>
      </c>
      <c r="H91" s="16" t="inlineStr">
        <is>
          <t>PRICED</t>
        </is>
      </c>
      <c r="I91" s="20" t="inlineStr">
        <is>
          <t>M-30 foundations and footings</t>
        </is>
      </c>
    </row>
    <row r="92" ht="20" customHeight="1">
      <c r="A92" s="15" t="inlineStr">
        <is>
          <t>SC-02</t>
        </is>
      </c>
      <c r="B92" s="16" t="inlineStr">
        <is>
          <t>Sentry post: Columns C1, 4 No., 350 x 350, (-)1.400 to +6.700</t>
        </is>
      </c>
      <c r="C92" s="16" t="inlineStr">
        <is>
          <t>m3</t>
        </is>
      </c>
      <c r="D92" s="17" t="n">
        <v>3.969</v>
      </c>
      <c r="E92" s="16" t="inlineStr">
        <is>
          <t>25.35</t>
        </is>
      </c>
      <c r="F92" s="18" t="n">
        <v>14150</v>
      </c>
      <c r="G92" s="19">
        <f>D92*F92</f>
        <v/>
      </c>
      <c r="H92" s="16" t="inlineStr">
        <is>
          <t>PRICED</t>
        </is>
      </c>
      <c r="I92" s="20" t="inlineStr">
        <is>
          <t>M-30 columns.  No floor lift applied — a column is cast in one pour from its base</t>
        </is>
      </c>
    </row>
    <row r="93" ht="20" customHeight="1">
      <c r="A93" s="15" t="inlineStr">
        <is>
          <t>SC-03</t>
        </is>
      </c>
      <c r="B93" s="16" t="inlineStr">
        <is>
          <t>Sentry post: Plinth beam PB 250 x 400, 15.200 m clear</t>
        </is>
      </c>
      <c r="C93" s="16" t="inlineStr">
        <is>
          <t>m3</t>
        </is>
      </c>
      <c r="D93" s="17" t="n">
        <v>1.52</v>
      </c>
      <c r="E93" s="16" t="inlineStr">
        <is>
          <t>25.54</t>
        </is>
      </c>
      <c r="F93" s="18" t="n">
        <v>12635</v>
      </c>
      <c r="G93" s="19">
        <f>D93*F93</f>
        <v/>
      </c>
      <c r="H93" s="16" t="inlineStr">
        <is>
          <t>PRICED</t>
        </is>
      </c>
      <c r="I93" s="20" t="inlineStr">
        <is>
          <t>M-30 beams, ground level</t>
        </is>
      </c>
    </row>
    <row r="94" ht="20" customHeight="1">
      <c r="A94" s="15" t="inlineStr">
        <is>
          <t>SC-04.1</t>
        </is>
      </c>
      <c r="B94" s="16" t="inlineStr">
        <is>
          <t>Sentry post: Beams B1 / B2 250 x 450, first-floor level</t>
        </is>
      </c>
      <c r="C94" s="16" t="inlineStr">
        <is>
          <t>m3</t>
        </is>
      </c>
      <c r="D94" s="17" t="n">
        <v>1.14</v>
      </c>
      <c r="E94" s="16" t="inlineStr">
        <is>
          <t>25.54</t>
        </is>
      </c>
      <c r="F94" s="27" t="n">
        <v>12761.35</v>
      </c>
      <c r="G94" s="19">
        <f>D94*F94</f>
        <v/>
      </c>
      <c r="H94" s="16" t="inlineStr">
        <is>
          <t>PRICED</t>
        </is>
      </c>
      <c r="I94" s="20" t="inlineStr">
        <is>
          <t>Half of WM1 item SC-04 (2.28 m3 at two levels).  +1 % first-floor lift</t>
        </is>
      </c>
    </row>
    <row r="95" ht="13" customHeight="1">
      <c r="A95" s="15" t="inlineStr">
        <is>
          <t>SC-04.2</t>
        </is>
      </c>
      <c r="B95" s="16" t="inlineStr">
        <is>
          <t>Sentry post: Beams B1 / B2 250 x 450, roof level</t>
        </is>
      </c>
      <c r="C95" s="16" t="inlineStr">
        <is>
          <t>m3</t>
        </is>
      </c>
      <c r="D95" s="17" t="n">
        <v>1.14</v>
      </c>
      <c r="E95" s="16" t="inlineStr">
        <is>
          <t>25.54</t>
        </is>
      </c>
      <c r="F95" s="27" t="n">
        <v>12761.35</v>
      </c>
      <c r="G95" s="19">
        <f>D95*F95</f>
        <v/>
      </c>
      <c r="H95" s="16" t="inlineStr">
        <is>
          <t>PRICED</t>
        </is>
      </c>
      <c r="I95" s="20" t="inlineStr">
        <is>
          <t>The other half.  +1 % floor lift</t>
        </is>
      </c>
    </row>
    <row r="96" ht="20" customHeight="1">
      <c r="A96" s="15" t="inlineStr">
        <is>
          <t>SC-05</t>
        </is>
      </c>
      <c r="B96" s="16" t="inlineStr">
        <is>
          <t>Sentry post: Slab S1 150, first floor, 4.000 x 5.000</t>
        </is>
      </c>
      <c r="C96" s="16" t="inlineStr">
        <is>
          <t>m3</t>
        </is>
      </c>
      <c r="D96" s="17" t="n">
        <v>3</v>
      </c>
      <c r="E96" s="16" t="inlineStr">
        <is>
          <t>25.74</t>
        </is>
      </c>
      <c r="F96" s="27" t="n">
        <v>14441.99</v>
      </c>
      <c r="G96" s="19">
        <f>D96*F96</f>
        <v/>
      </c>
      <c r="H96" s="16" t="inlineStr">
        <is>
          <t>PRICED</t>
        </is>
      </c>
      <c r="I96" s="20" t="inlineStr">
        <is>
          <t>M-30 slabs, +1 % first-floor lift</t>
        </is>
      </c>
    </row>
    <row r="97" ht="20" customHeight="1">
      <c r="A97" s="15" t="inlineStr">
        <is>
          <t>SC-06</t>
        </is>
      </c>
      <c r="B97" s="16" t="inlineStr">
        <is>
          <t>Sentry post: Slab S1 150, roof, 4.600 x 5.600 incl. the 300 projection</t>
        </is>
      </c>
      <c r="C97" s="16" t="inlineStr">
        <is>
          <t>m3</t>
        </is>
      </c>
      <c r="D97" s="17" t="n">
        <v>3.864</v>
      </c>
      <c r="E97" s="16" t="inlineStr">
        <is>
          <t>25.74</t>
        </is>
      </c>
      <c r="F97" s="27" t="n">
        <v>14441.99</v>
      </c>
      <c r="G97" s="19">
        <f>D97*F97</f>
        <v/>
      </c>
      <c r="H97" s="16" t="inlineStr">
        <is>
          <t>PRICED</t>
        </is>
      </c>
      <c r="I97" s="20" t="inlineStr">
        <is>
          <t>M-30 slabs, +1 % floor lift.  The SSR table runs ground / first / second / third / fourth; the roof of a G+1 is read as the first-floor band</t>
        </is>
      </c>
    </row>
    <row r="98" ht="20" customHeight="1">
      <c r="A98" s="28" t="inlineStr">
        <is>
          <t>SC-07</t>
        </is>
      </c>
      <c r="B98" s="29" t="inlineStr">
        <is>
          <t>Sentry post: Parapet 300 high x 150 thk over the roof projection</t>
        </is>
      </c>
      <c r="C98" s="29" t="inlineStr">
        <is>
          <t>m3</t>
        </is>
      </c>
      <c r="D98" s="30" t="n">
        <v>0.918</v>
      </c>
      <c r="E98" s="29" t="inlineStr">
        <is>
          <t>26.19 der.</t>
        </is>
      </c>
      <c r="F98" s="31" t="n">
        <v>16092.65</v>
      </c>
      <c r="G98" s="32">
        <f>D98*F98</f>
        <v/>
      </c>
      <c r="H98" s="29" t="inlineStr">
        <is>
          <t>PRICED [A] — stated assumption</t>
        </is>
      </c>
      <c r="I98" s="33" t="inlineStr">
        <is>
          <t>[A] Pardi grade-uplifted M25 -&gt; M30, +1 % floor lift.  The 150 thickness is [A] in WM1 and that tag is carried, not resolved</t>
        </is>
      </c>
    </row>
    <row r="99" ht="20" customHeight="1">
      <c r="A99" s="35" t="inlineStr">
        <is>
          <t>SC-08</t>
        </is>
      </c>
      <c r="B99" s="36" t="inlineStr">
        <is>
          <t>Sentry post ground floor slab on grade — PROVISIONAL, not designed</t>
        </is>
      </c>
      <c r="C99" s="36" t="inlineStr">
        <is>
          <t>m2</t>
        </is>
      </c>
      <c r="D99" s="37" t="n">
        <v>16.56</v>
      </c>
      <c r="E99" s="36" t="inlineStr">
        <is>
          <t>—</t>
        </is>
      </c>
      <c r="F99" s="44" t="n"/>
      <c r="G99" s="39" t="n"/>
      <c r="H99" s="36" t="inlineStr">
        <is>
          <t>NOT PRICED</t>
        </is>
      </c>
      <c r="I99" s="40" t="inlineStr">
        <is>
          <t>NOT PRICED.  Thickness and specification are to be confirmed — WM1 tags this [N] and no rate can be chosen without them</t>
        </is>
      </c>
    </row>
    <row r="100" ht="20" customHeight="1">
      <c r="A100" s="15" t="inlineStr">
        <is>
          <t>SC-09</t>
        </is>
      </c>
      <c r="B100" s="16" t="inlineStr">
        <is>
          <t>Sentry post: blinding / PCC M15 100 thk under F1, 4 No.</t>
        </is>
      </c>
      <c r="C100" s="16" t="inlineStr">
        <is>
          <t>m3</t>
        </is>
      </c>
      <c r="D100" s="17" t="n">
        <v>1.156</v>
      </c>
      <c r="E100" s="16" t="inlineStr">
        <is>
          <t>24.04</t>
        </is>
      </c>
      <c r="F100" s="18" t="n">
        <v>6359</v>
      </c>
      <c r="G100" s="19">
        <f>D100*F100</f>
        <v/>
      </c>
      <c r="H100" s="16" t="inlineStr">
        <is>
          <t>PRICED</t>
        </is>
      </c>
      <c r="I100" s="20" t="inlineStr">
        <is>
          <t>As C-09</t>
        </is>
      </c>
    </row>
    <row r="101" ht="30" customHeight="1">
      <c r="A101" s="35" t="inlineStr">
        <is>
          <t>SC-10</t>
        </is>
      </c>
      <c r="B101" s="36" t="inlineStr">
        <is>
          <t>Sentry post: external spiral stair, 1000 R, 250 dia central pole</t>
        </is>
      </c>
      <c r="C101" s="36" t="inlineStr">
        <is>
          <t>item</t>
        </is>
      </c>
      <c r="D101" s="37" t="n">
        <v>1</v>
      </c>
      <c r="E101" s="36" t="inlineStr">
        <is>
          <t>—</t>
        </is>
      </c>
      <c r="F101" s="44" t="n"/>
      <c r="G101" s="39" t="n"/>
      <c r="H101" s="36" t="inlineStr">
        <is>
          <t>NOT PRICED</t>
        </is>
      </c>
      <c r="I101" s="40" t="inlineStr">
        <is>
          <t>NOT PRICED.  THE SSR HAS NO SPIRAL STAIR ITEM, and the fabrication detail is not in the project record.  SSR 40.06, SS 304 handrail at Rs 1 220/m, is the only related published item and cannot stand for the stair.  Section B: Superintending Engineer to approve the rate</t>
        </is>
      </c>
    </row>
    <row r="102">
      <c r="A102" s="41" t="n"/>
      <c r="B102" s="42" t="inlineStr">
        <is>
          <t>SUB-TOTAL — G</t>
        </is>
      </c>
      <c r="C102" s="41" t="n"/>
      <c r="D102" s="41" t="n"/>
      <c r="E102" s="41" t="n"/>
      <c r="F102" s="41" t="n"/>
      <c r="G102" s="43">
        <f>SUM(G91:G101)</f>
        <v/>
      </c>
      <c r="H102" s="41" t="n"/>
      <c r="I102" s="41" t="n"/>
    </row>
    <row r="104">
      <c r="A104" s="3" t="inlineStr">
        <is>
          <t>H · SENTRY POST — BRICK MASONRY AND FINISHES  (design change SP-B1)</t>
        </is>
      </c>
    </row>
    <row r="105" ht="60" customHeight="1">
      <c r="A105" s="28" t="inlineStr">
        <is>
          <t>SP-01</t>
        </is>
      </c>
      <c r="B105" s="29" t="inlineStr">
        <is>
          <t>Brick masonry, ground storey, 190 thk in a 200 zone, CM 1:6, incl. scaffolding</t>
        </is>
      </c>
      <c r="C105" s="29" t="inlineStr">
        <is>
          <t>m3</t>
        </is>
      </c>
      <c r="D105" s="30" t="n">
        <v>6.876</v>
      </c>
      <c r="E105" s="29" t="inlineStr">
        <is>
          <t>27.05</t>
        </is>
      </c>
      <c r="F105" s="34" t="n">
        <v>7994</v>
      </c>
      <c r="G105" s="32">
        <f>D105*F105</f>
        <v/>
      </c>
      <c r="H105" s="29" t="inlineStr">
        <is>
          <t>PRICED [A] — stated assumption</t>
        </is>
      </c>
      <c r="I105" s="33" t="inlineStr">
        <is>
          <t>[A] Mortar CM 1:6 and location (superstructure) match SSR 27.05 exactly.  SP-B1 specifies modular bricks CLASS 10 to IS 1077.  THE SSR PUBLISHES NO FIRST-CLASS ITEM FOR SUPERSTRUCTURE WALLS AT ALL — chapter 27 offers first class only in plinth (27.02) and in pillars (27.08, 27.09) — so 27.05 is the only published superstructure brick wall item and it governs whatever class the bricks are.  The SSR's first / second class is a workmanship grading and does not map onto IS 1077 strength classes.  OPEN ITEM WM4-V2</t>
        </is>
      </c>
    </row>
    <row r="106" ht="20" customHeight="1">
      <c r="A106" s="28" t="inlineStr">
        <is>
          <t>SP-02</t>
        </is>
      </c>
      <c r="B106" s="29" t="inlineStr">
        <is>
          <t>Brick masonry, first storey, 190 thk in a 200 zone, CM 1:6, incl. scaffolding</t>
        </is>
      </c>
      <c r="C106" s="29" t="inlineStr">
        <is>
          <t>m3</t>
        </is>
      </c>
      <c r="D106" s="30" t="n">
        <v>5.32</v>
      </c>
      <c r="E106" s="29" t="inlineStr">
        <is>
          <t>27.05</t>
        </is>
      </c>
      <c r="F106" s="31" t="n">
        <v>8073.94</v>
      </c>
      <c r="G106" s="32">
        <f>D106*F106</f>
        <v/>
      </c>
      <c r="H106" s="29" t="inlineStr">
        <is>
          <t>PRICED [A] — stated assumption</t>
        </is>
      </c>
      <c r="I106" s="33" t="inlineStr">
        <is>
          <t>[A] As SP-01, +1 % first-floor lift</t>
        </is>
      </c>
    </row>
    <row r="107" ht="30" customHeight="1">
      <c r="A107" s="21" t="inlineStr">
        <is>
          <t>SP-03</t>
        </is>
      </c>
      <c r="B107" s="22" t="inlineStr">
        <is>
          <t>Modular burnt clay bricks class 10 to IS 1077, delivered</t>
        </is>
      </c>
      <c r="C107" s="22" t="inlineStr">
        <is>
          <t>No.</t>
        </is>
      </c>
      <c r="D107" s="23" t="n">
        <v>6402.952</v>
      </c>
      <c r="E107" s="22" t="inlineStr">
        <is>
          <t>—</t>
        </is>
      </c>
      <c r="F107" s="24" t="n"/>
      <c r="G107" s="25" t="n"/>
      <c r="H107" s="22" t="inlineStr">
        <is>
          <t>INCLUDED — not separately payable</t>
        </is>
      </c>
      <c r="I107" s="26" t="inlineStr">
        <is>
          <t>INCLUDED in SP-01 / SP-02 — SSR 27.05 is a composite supply-and-lay rate.  SSR general material rate for II class brick is Rs 8.50 each, so this quantity carries about Rs 54 425 of material INSIDE the masonry rate</t>
        </is>
      </c>
    </row>
    <row r="108" ht="13" customHeight="1">
      <c r="A108" s="21" t="inlineStr">
        <is>
          <t>SP-04</t>
        </is>
      </c>
      <c r="B108" s="22" t="inlineStr">
        <is>
          <t>Cement for masonry mortar CM 1:6</t>
        </is>
      </c>
      <c r="C108" s="22" t="inlineStr">
        <is>
          <t>bag</t>
        </is>
      </c>
      <c r="D108" s="23" t="n">
        <v>14.458</v>
      </c>
      <c r="E108" s="22" t="inlineStr">
        <is>
          <t>—</t>
        </is>
      </c>
      <c r="F108" s="24" t="n"/>
      <c r="G108" s="25" t="n"/>
      <c r="H108" s="22" t="inlineStr">
        <is>
          <t>INCLUDED — not separately payable</t>
        </is>
      </c>
      <c r="I108" s="26" t="inlineStr">
        <is>
          <t>INCLUDED in SP-01 / SP-02.  SSR general rate Rs 6 000 / M.T. = Rs 300 / bag</t>
        </is>
      </c>
    </row>
    <row r="109" ht="13" customHeight="1">
      <c r="A109" s="21" t="inlineStr">
        <is>
          <t>SP-05</t>
        </is>
      </c>
      <c r="B109" s="22" t="inlineStr">
        <is>
          <t>Sand for masonry mortar, to IS 2116</t>
        </is>
      </c>
      <c r="C109" s="22" t="inlineStr">
        <is>
          <t>m3</t>
        </is>
      </c>
      <c r="D109" s="23" t="n">
        <v>3.012</v>
      </c>
      <c r="E109" s="22" t="inlineStr">
        <is>
          <t>—</t>
        </is>
      </c>
      <c r="F109" s="24" t="n"/>
      <c r="G109" s="25" t="n"/>
      <c r="H109" s="22" t="inlineStr">
        <is>
          <t>INCLUDED — not separately payable</t>
        </is>
      </c>
      <c r="I109" s="26" t="inlineStr">
        <is>
          <t>INCLUDED in SP-01 / SP-02.  SSR general rate, crushed sand, Rs 1 200 / m3</t>
        </is>
      </c>
    </row>
    <row r="110" ht="40" customHeight="1">
      <c r="A110" s="28" t="inlineStr">
        <is>
          <t>SP-06</t>
        </is>
      </c>
      <c r="B110" s="29" t="inlineStr">
        <is>
          <t>RC lintels over openings, 200 x 150 — PROVISIONAL section</t>
        </is>
      </c>
      <c r="C110" s="29" t="inlineStr">
        <is>
          <t>m3</t>
        </is>
      </c>
      <c r="D110" s="30" t="n">
        <v>0.51</v>
      </c>
      <c r="E110" s="29" t="inlineStr">
        <is>
          <t>25.54</t>
        </is>
      </c>
      <c r="F110" s="34" t="n">
        <v>12635</v>
      </c>
      <c r="G110" s="32">
        <f>D110*F110</f>
        <v/>
      </c>
      <c r="H110" s="29" t="inlineStr">
        <is>
          <t>PRICED [A] — stated assumption</t>
        </is>
      </c>
      <c r="I110" s="33" t="inlineStr">
        <is>
          <t>[A] M-30 beams and lintels.  THE SECTION IS SUPERSEDED: design revision SP-B2 (master A.4.8 / H.12) designs lintel L1 at 190 x 150, and WM_RECONCILIATION_REGISTER section 6 records that this bill line still measures the superseded 200 x 150.  WM4 does NOT re-measure it — the quantity is WM1's and stays WM1's.  OPEN ITEM WM4-V3</t>
        </is>
      </c>
    </row>
    <row r="111" ht="30" customHeight="1">
      <c r="A111" s="15" t="inlineStr">
        <is>
          <t>SP-07</t>
        </is>
      </c>
      <c r="B111" s="16" t="inlineStr">
        <is>
          <t>Internal cement plaster 12 mm, CM 1:4</t>
        </is>
      </c>
      <c r="C111" s="16" t="inlineStr">
        <is>
          <t>m2</t>
        </is>
      </c>
      <c r="D111" s="17" t="n">
        <v>125.15</v>
      </c>
      <c r="E111" s="16" t="inlineStr">
        <is>
          <t>32.04</t>
        </is>
      </c>
      <c r="F111" s="18" t="n">
        <v>278</v>
      </c>
      <c r="G111" s="19">
        <f>D111*F111</f>
        <v/>
      </c>
      <c r="H111" s="16" t="inlineStr">
        <is>
          <t>PRICED</t>
        </is>
      </c>
      <c r="I111" s="20" t="inlineStr">
        <is>
          <t>Thickness, mortar and location all match the SSR item exactly.  WM1's description says 'sand faced'; sand facing is an EXTERNAL finish in the SSR (32.11) and 12 mm internal CM 1:4 is 32.04.  Priced as internal</t>
        </is>
      </c>
    </row>
    <row r="112" ht="20" customHeight="1">
      <c r="A112" s="15" t="inlineStr">
        <is>
          <t>SP-08</t>
        </is>
      </c>
      <c r="B112" s="16" t="inlineStr">
        <is>
          <t>External cement plaster 15 mm, two coat</t>
        </is>
      </c>
      <c r="C112" s="16" t="inlineStr">
        <is>
          <t>m2</t>
        </is>
      </c>
      <c r="D112" s="17" t="n">
        <v>97.39</v>
      </c>
      <c r="E112" s="16" t="inlineStr">
        <is>
          <t>32.11</t>
        </is>
      </c>
      <c r="F112" s="18" t="n">
        <v>639</v>
      </c>
      <c r="G112" s="19">
        <f>D112*F112</f>
        <v/>
      </c>
      <c r="H112" s="16" t="inlineStr">
        <is>
          <t>PRICED</t>
        </is>
      </c>
      <c r="I112" s="20" t="inlineStr">
        <is>
          <t>SSR 32.11 sand faced external: 15 mm base coat in CM 1:4 plus a finishing coat — the specified two-coat 15 mm work exactly</t>
        </is>
      </c>
    </row>
    <row r="113" ht="30" customHeight="1">
      <c r="A113" s="35" t="inlineStr">
        <is>
          <t>SP-09</t>
        </is>
      </c>
      <c r="B113" s="36" t="inlineStr">
        <is>
          <t>Flooring, ground and first floor, 3.600 x 4.600 each</t>
        </is>
      </c>
      <c r="C113" s="36" t="inlineStr">
        <is>
          <t>m2</t>
        </is>
      </c>
      <c r="D113" s="37" t="n">
        <v>33.12</v>
      </c>
      <c r="E113" s="36" t="inlineStr">
        <is>
          <t>33.24</t>
        </is>
      </c>
      <c r="F113" s="44" t="n"/>
      <c r="G113" s="39" t="n"/>
      <c r="H113" s="36" t="inlineStr">
        <is>
          <t>NOT PRICED</t>
        </is>
      </c>
      <c r="I113" s="40" t="inlineStr">
        <is>
          <t>NOT PRICED.  NO FLOORING SPECIFICATION EXISTS IN THE PROJECT (WM1 tags it [N]).  For information only, and NOT in the total: SSR 33.24 matt ceramic 300 x 300 is Rs 1 182 / m2, which would be Rs 39 147</t>
        </is>
      </c>
    </row>
    <row r="114" ht="30" customHeight="1">
      <c r="A114" s="28" t="inlineStr">
        <is>
          <t>SP-10.1</t>
        </is>
      </c>
      <c r="B114" s="29" t="inlineStr">
        <is>
          <t>Painting, INTERNAL — plastic emulsion, two coats</t>
        </is>
      </c>
      <c r="C114" s="29" t="inlineStr">
        <is>
          <t>m2</t>
        </is>
      </c>
      <c r="D114" s="30" t="n">
        <v>125.15</v>
      </c>
      <c r="E114" s="29" t="inlineStr">
        <is>
          <t>36.12</t>
        </is>
      </c>
      <c r="F114" s="34" t="n">
        <v>80</v>
      </c>
      <c r="G114" s="32">
        <f>D114*F114</f>
        <v/>
      </c>
      <c r="H114" s="29" t="inlineStr">
        <is>
          <t>PRICED [A] — stated assumption</t>
        </is>
      </c>
      <c r="I114" s="33" t="inlineStr">
        <is>
          <t>[A] WM1 item SP-10 is one 222.54 m2 line for internal and external together.  It splits EXACTLY on the two plaster areas — 125.15 + 97.39 = 222.54 — so the split is arithmetic, not judgement.  The paint SYSTEM is assumed: WM1 records the specification as not in the project</t>
        </is>
      </c>
    </row>
    <row r="115" ht="20" customHeight="1">
      <c r="A115" s="28" t="inlineStr">
        <is>
          <t>SP-10.2</t>
        </is>
      </c>
      <c r="B115" s="29" t="inlineStr">
        <is>
          <t>Painting, EXTERNAL — exterior acrylic emulsion, two coats</t>
        </is>
      </c>
      <c r="C115" s="29" t="inlineStr">
        <is>
          <t>m2</t>
        </is>
      </c>
      <c r="D115" s="30" t="n">
        <v>97.39</v>
      </c>
      <c r="E115" s="29" t="inlineStr">
        <is>
          <t>35.25</t>
        </is>
      </c>
      <c r="F115" s="34" t="n">
        <v>261</v>
      </c>
      <c r="G115" s="32">
        <f>D115*F115</f>
        <v/>
      </c>
      <c r="H115" s="29" t="inlineStr">
        <is>
          <t>PRICED [A] — stated assumption</t>
        </is>
      </c>
      <c r="I115" s="33" t="inlineStr">
        <is>
          <t>[A] As SP-10.1</t>
        </is>
      </c>
    </row>
    <row r="116" ht="30" customHeight="1">
      <c r="A116" s="28" t="inlineStr">
        <is>
          <t>SP-11</t>
        </is>
      </c>
      <c r="B116" s="29" t="inlineStr">
        <is>
          <t>Door D1 900 x 2100, 2 No. (ground and first floor)</t>
        </is>
      </c>
      <c r="C116" s="29" t="inlineStr">
        <is>
          <t>m2</t>
        </is>
      </c>
      <c r="D116" s="30" t="n">
        <v>3.78</v>
      </c>
      <c r="E116" s="29" t="inlineStr">
        <is>
          <t>39.10</t>
        </is>
      </c>
      <c r="F116" s="34" t="n">
        <v>2913</v>
      </c>
      <c r="G116" s="32">
        <f>D116*F116</f>
        <v/>
      </c>
      <c r="H116" s="29" t="inlineStr">
        <is>
          <t>PRICED [A] — stated assumption</t>
        </is>
      </c>
      <c r="I116" s="33" t="inlineStr">
        <is>
          <t>[A] SHUTTER ONLY — the SSR bills the frame as a separate item and no frame specification exists.  The door TYPE is not in the project either; a 32 mm commercial flush shutter is assumed.  Height 2100 is [A] in WM1</t>
        </is>
      </c>
    </row>
    <row r="117" ht="20" customHeight="1">
      <c r="A117" s="35" t="inlineStr">
        <is>
          <t>SP-12</t>
        </is>
      </c>
      <c r="B117" s="36" t="inlineStr">
        <is>
          <t>Window W1 1200 wide, ground storey, 1 No.</t>
        </is>
      </c>
      <c r="C117" s="36" t="inlineStr">
        <is>
          <t>No.</t>
        </is>
      </c>
      <c r="D117" s="37" t="n">
        <v>1</v>
      </c>
      <c r="E117" s="36" t="inlineStr">
        <is>
          <t>39.50</t>
        </is>
      </c>
      <c r="F117" s="44" t="n"/>
      <c r="G117" s="39" t="n"/>
      <c r="H117" s="36" t="inlineStr">
        <is>
          <t>NOT PRICED</t>
        </is>
      </c>
      <c r="I117" s="40" t="inlineStr">
        <is>
          <t>NOT PRICED.  THE HEIGHT IS NOT STATED ANYWHERE IN THE PROJECT ([N] in WM1), so there is no area to price.  SSR 39.50 aluminium openable window is Rs 5 700 / m2 when a height exists</t>
        </is>
      </c>
    </row>
    <row r="118" ht="20" customHeight="1">
      <c r="A118" s="35" t="inlineStr">
        <is>
          <t>SP-13</t>
        </is>
      </c>
      <c r="B118" s="36" t="inlineStr">
        <is>
          <t>Armoured vision panels 1200 wide, 8 No., first storey — SPECIALIST</t>
        </is>
      </c>
      <c r="C118" s="36" t="inlineStr">
        <is>
          <t>No.</t>
        </is>
      </c>
      <c r="D118" s="37" t="n">
        <v>8</v>
      </c>
      <c r="E118" s="36" t="inlineStr">
        <is>
          <t>—</t>
        </is>
      </c>
      <c r="F118" s="44" t="n"/>
      <c r="G118" s="39" t="n"/>
      <c r="H118" s="36" t="inlineStr">
        <is>
          <t>NOT PRICED</t>
        </is>
      </c>
      <c r="I118" s="40" t="inlineStr">
        <is>
          <t>NOT PRICED and NOT IN THE SSR.  An armoured vision panel is not a schedule item.  Specification is not in the project either</t>
        </is>
      </c>
    </row>
    <row r="119">
      <c r="A119" s="41" t="n"/>
      <c r="B119" s="42" t="inlineStr">
        <is>
          <t>SUB-TOTAL — H</t>
        </is>
      </c>
      <c r="C119" s="41" t="n"/>
      <c r="D119" s="41" t="n"/>
      <c r="E119" s="41" t="n"/>
      <c r="F119" s="41" t="n"/>
      <c r="G119" s="43">
        <f>SUM(G105:G118)</f>
        <v/>
      </c>
      <c r="H119" s="41" t="n"/>
      <c r="I119" s="41" t="n"/>
    </row>
    <row r="121">
      <c r="A121" s="3" t="inlineStr">
        <is>
          <t>I · ELECTRICAL AND EMP INSTALLATION</t>
        </is>
      </c>
    </row>
    <row r="122" ht="30" customHeight="1">
      <c r="A122" s="35" t="inlineStr">
        <is>
          <t>EL-01</t>
        </is>
      </c>
      <c r="B122" s="36" t="inlineStr">
        <is>
          <t>Conduits, boxes and concealed work, cast into RC — builder's work</t>
        </is>
      </c>
      <c r="C122" s="36" t="inlineStr">
        <is>
          <t>item</t>
        </is>
      </c>
      <c r="D122" s="37" t="n"/>
      <c r="E122" s="36" t="inlineStr">
        <is>
          <t>—</t>
        </is>
      </c>
      <c r="F122" s="44" t="n"/>
      <c r="G122" s="39" t="n"/>
      <c r="H122" s="36" t="inlineStr">
        <is>
          <t>NOT PRICED</t>
        </is>
      </c>
      <c r="I122" s="40" t="inlineStr">
        <is>
          <t>NOT PRICED.  NO ELECTRICAL DESIGN PACKAGE EXISTS — no quantity, and for EL-03 and EL-07 no SSR item either.  The SSR's water-supply and sanitary chapters 41-43 hold no EMP or shielding item of any kind</t>
        </is>
      </c>
    </row>
    <row r="123" ht="30" customHeight="1">
      <c r="A123" s="35" t="inlineStr">
        <is>
          <t>EL-02</t>
        </is>
      </c>
      <c r="B123" s="36" t="inlineStr">
        <is>
          <t>Cabling, distribution board and final circuits</t>
        </is>
      </c>
      <c r="C123" s="36" t="inlineStr">
        <is>
          <t>item</t>
        </is>
      </c>
      <c r="D123" s="37" t="n"/>
      <c r="E123" s="36" t="inlineStr">
        <is>
          <t>—</t>
        </is>
      </c>
      <c r="F123" s="44" t="n"/>
      <c r="G123" s="39" t="n"/>
      <c r="H123" s="36" t="inlineStr">
        <is>
          <t>NOT PRICED</t>
        </is>
      </c>
      <c r="I123" s="40" t="inlineStr">
        <is>
          <t>NOT PRICED.  NO ELECTRICAL DESIGN PACKAGE EXISTS — no quantity, and for EL-03 and EL-07 no SSR item either.  The SSR's water-supply and sanitary chapters 41-43 hold no EMP or shielding item of any kind</t>
        </is>
      </c>
    </row>
    <row r="124" ht="30" customHeight="1">
      <c r="A124" s="35" t="inlineStr">
        <is>
          <t>EL-03</t>
        </is>
      </c>
      <c r="B124" s="36" t="inlineStr">
        <is>
          <t>EMP Zone 2 shielded enclosure, bay 3 — SPECIALIST</t>
        </is>
      </c>
      <c r="C124" s="36" t="inlineStr">
        <is>
          <t>item</t>
        </is>
      </c>
      <c r="D124" s="37" t="n"/>
      <c r="E124" s="36" t="inlineStr">
        <is>
          <t>—</t>
        </is>
      </c>
      <c r="F124" s="44" t="n"/>
      <c r="G124" s="39" t="n"/>
      <c r="H124" s="36" t="inlineStr">
        <is>
          <t>NOT PRICED</t>
        </is>
      </c>
      <c r="I124" s="40" t="inlineStr">
        <is>
          <t>NOT PRICED.  NO ELECTRICAL DESIGN PACKAGE EXISTS — no quantity, and for EL-03 and EL-07 no SSR item either.  The SSR's water-supply and sanitary chapters 41-43 hold no EMP or shielding item of any kind</t>
        </is>
      </c>
    </row>
    <row r="125" ht="30" customHeight="1">
      <c r="A125" s="35" t="inlineStr">
        <is>
          <t>EL-04</t>
        </is>
      </c>
      <c r="B125" s="36" t="inlineStr">
        <is>
          <t>Earthing installation, 5 ohm target, IS 3043</t>
        </is>
      </c>
      <c r="C125" s="36" t="inlineStr">
        <is>
          <t>item</t>
        </is>
      </c>
      <c r="D125" s="37" t="n"/>
      <c r="E125" s="36" t="inlineStr">
        <is>
          <t>—</t>
        </is>
      </c>
      <c r="F125" s="44" t="n"/>
      <c r="G125" s="39" t="n"/>
      <c r="H125" s="36" t="inlineStr">
        <is>
          <t>NOT PRICED</t>
        </is>
      </c>
      <c r="I125" s="40" t="inlineStr">
        <is>
          <t>NOT PRICED.  NO ELECTRICAL DESIGN PACKAGE EXISTS — no quantity, and for EL-03 and EL-07 no SSR item either.  The SSR's water-supply and sanitary chapters 41-43 hold no EMP or shielding item of any kind</t>
        </is>
      </c>
    </row>
    <row r="126" ht="30" customHeight="1">
      <c r="A126" s="35" t="inlineStr">
        <is>
          <t>EL-05</t>
        </is>
      </c>
      <c r="B126" s="36" t="inlineStr">
        <is>
          <t>Lighting, small power and emergency lighting</t>
        </is>
      </c>
      <c r="C126" s="36" t="inlineStr">
        <is>
          <t>item</t>
        </is>
      </c>
      <c r="D126" s="37" t="n"/>
      <c r="E126" s="36" t="inlineStr">
        <is>
          <t>—</t>
        </is>
      </c>
      <c r="F126" s="44" t="n"/>
      <c r="G126" s="39" t="n"/>
      <c r="H126" s="36" t="inlineStr">
        <is>
          <t>NOT PRICED</t>
        </is>
      </c>
      <c r="I126" s="40" t="inlineStr">
        <is>
          <t>NOT PRICED.  NO ELECTRICAL DESIGN PACKAGE EXISTS — no quantity, and for EL-03 and EL-07 no SSR item either.  The SSR's water-supply and sanitary chapters 41-43 hold no EMP or shielding item of any kind</t>
        </is>
      </c>
    </row>
    <row r="127" ht="30" customHeight="1">
      <c r="A127" s="35" t="inlineStr">
        <is>
          <t>EL-06</t>
        </is>
      </c>
      <c r="B127" s="36" t="inlineStr">
        <is>
          <t>Generator connection, changeover and protection</t>
        </is>
      </c>
      <c r="C127" s="36" t="inlineStr">
        <is>
          <t>item</t>
        </is>
      </c>
      <c r="D127" s="37" t="n"/>
      <c r="E127" s="36" t="inlineStr">
        <is>
          <t>—</t>
        </is>
      </c>
      <c r="F127" s="44" t="n"/>
      <c r="G127" s="39" t="n"/>
      <c r="H127" s="36" t="inlineStr">
        <is>
          <t>NOT PRICED</t>
        </is>
      </c>
      <c r="I127" s="40" t="inlineStr">
        <is>
          <t>NOT PRICED.  NO ELECTRICAL DESIGN PACKAGE EXISTS — no quantity, and for EL-03 and EL-07 no SSR item either.  The SSR's water-supply and sanitary chapters 41-43 hold no EMP or shielding item of any kind</t>
        </is>
      </c>
    </row>
    <row r="128" ht="30" customHeight="1">
      <c r="A128" s="35" t="inlineStr">
        <is>
          <t>EL-07</t>
        </is>
      </c>
      <c r="B128" s="36" t="inlineStr">
        <is>
          <t>EMP protection to every service penetration (power PCI, waveguide-below-cutoff, fibre)</t>
        </is>
      </c>
      <c r="C128" s="36" t="inlineStr">
        <is>
          <t>item</t>
        </is>
      </c>
      <c r="D128" s="37" t="n"/>
      <c r="E128" s="36" t="inlineStr">
        <is>
          <t>—</t>
        </is>
      </c>
      <c r="F128" s="44" t="n"/>
      <c r="G128" s="39" t="n"/>
      <c r="H128" s="36" t="inlineStr">
        <is>
          <t>NOT PRICED</t>
        </is>
      </c>
      <c r="I128" s="40" t="inlineStr">
        <is>
          <t>NOT PRICED.  NO ELECTRICAL DESIGN PACKAGE EXISTS — no quantity, and for EL-03 and EL-07 no SSR item either.  The SSR's water-supply and sanitary chapters 41-43 hold no EMP or shielding item of any kind</t>
        </is>
      </c>
    </row>
    <row r="129">
      <c r="A129" s="41" t="n"/>
      <c r="B129" s="42" t="inlineStr">
        <is>
          <t>SUB-TOTAL — I</t>
        </is>
      </c>
      <c r="C129" s="41" t="n"/>
      <c r="D129" s="41" t="n"/>
      <c r="E129" s="41" t="n"/>
      <c r="F129" s="41" t="n"/>
      <c r="G129" s="43">
        <f>SUM(G122:G128)</f>
        <v/>
      </c>
      <c r="H129" s="41" t="n"/>
      <c r="I129" s="41" t="n"/>
    </row>
    <row r="131">
      <c r="A131" s="3" t="inlineStr">
        <is>
          <t>J · PRINCIPAL MATERIALS — PROCUREMENT VOLUMES</t>
        </is>
      </c>
    </row>
    <row r="132" ht="30" customHeight="1">
      <c r="A132" s="21" t="inlineStr">
        <is>
          <t>M-01</t>
        </is>
      </c>
      <c r="B132" s="22" t="inlineStr">
        <is>
          <t>Cement, OPC 43 grade to IS 269, all works</t>
        </is>
      </c>
      <c r="C132" s="22" t="inlineStr">
        <is>
          <t>t</t>
        </is>
      </c>
      <c r="D132" s="23" t="n">
        <v>194.169</v>
      </c>
      <c r="E132" s="22" t="inlineStr">
        <is>
          <t>—</t>
        </is>
      </c>
      <c r="F132" s="24" t="n"/>
      <c r="G132" s="25" t="n"/>
      <c r="H132" s="22" t="inlineStr">
        <is>
          <t>INCLUDED — not separately payable</t>
        </is>
      </c>
      <c r="I132" s="26" t="inlineStr">
        <is>
          <t>PROCUREMENT MEMORANDUM, NOT A PAYABLE ITEM — cement is inside every composite rate above.  At the SSR general rate of Rs 6 000 / M.T. this volume carries Rs 1 165 014 of cement INSIDE those rates</t>
        </is>
      </c>
    </row>
    <row r="133" ht="20" customHeight="1">
      <c r="A133" s="21" t="inlineStr">
        <is>
          <t>M-02</t>
        </is>
      </c>
      <c r="B133" s="22" t="inlineStr">
        <is>
          <t>Coarse and fine aggregate to IS 383, all concrete</t>
        </is>
      </c>
      <c r="C133" s="22" t="inlineStr">
        <is>
          <t>t</t>
        </is>
      </c>
      <c r="D133" s="23" t="n">
        <v>828.6609999999999</v>
      </c>
      <c r="E133" s="22" t="inlineStr">
        <is>
          <t>—</t>
        </is>
      </c>
      <c r="F133" s="24" t="n"/>
      <c r="G133" s="25" t="n"/>
      <c r="H133" s="22" t="inlineStr">
        <is>
          <t>INCLUDED — not separately payable</t>
        </is>
      </c>
      <c r="I133" s="26" t="inlineStr">
        <is>
          <t>PROCUREMENT MEMORANDUM.  Inside the composite rates.  SSR general rates: 20 mm aggregate Rs 1 050 / m3, crushed sand Rs 1 200 / m3</t>
        </is>
      </c>
    </row>
    <row r="134" ht="20" customHeight="1">
      <c r="A134" s="21" t="inlineStr">
        <is>
          <t>M-03</t>
        </is>
      </c>
      <c r="B134" s="22" t="inlineStr">
        <is>
          <t>Water for concrete, mortar and curing — site supply</t>
        </is>
      </c>
      <c r="C134" s="22" t="inlineStr">
        <is>
          <t>item</t>
        </is>
      </c>
      <c r="D134" s="23" t="n"/>
      <c r="E134" s="22" t="inlineStr">
        <is>
          <t>—</t>
        </is>
      </c>
      <c r="F134" s="24" t="n"/>
      <c r="G134" s="25" t="n"/>
      <c r="H134" s="22" t="inlineStr">
        <is>
          <t>INCLUDED — not separately payable</t>
        </is>
      </c>
      <c r="I134" s="26" t="inlineStr">
        <is>
          <t>PROCUREMENT MEMORANDUM.  Curing and watering are inside every SSR item.  SSR general rate for water is Rs 213 / 1 000 litre</t>
        </is>
      </c>
    </row>
    <row r="135">
      <c r="A135" s="41" t="n"/>
      <c r="B135" s="42" t="inlineStr">
        <is>
          <t>SUB-TOTAL — J</t>
        </is>
      </c>
      <c r="C135" s="41" t="n"/>
      <c r="D135" s="41" t="n"/>
      <c r="E135" s="41" t="n"/>
      <c r="F135" s="41" t="n"/>
      <c r="G135" s="43">
        <f>SUM(G132:G134)</f>
        <v/>
      </c>
      <c r="H135" s="41" t="n"/>
      <c r="I135" s="41" t="n"/>
    </row>
    <row r="137">
      <c r="A137" s="3" t="inlineStr">
        <is>
          <t>K · ITEMS ADDED BY OWNER RULING RC4 (master H.28)</t>
        </is>
      </c>
    </row>
    <row r="138" ht="30" customHeight="1">
      <c r="A138" s="15" t="inlineStr">
        <is>
          <t>RC4-01</t>
        </is>
      </c>
      <c r="B138" s="16" t="inlineStr">
        <is>
          <t>Strip expansive CH horizon to 1.000 m below existing ground under and 1.000 m beyond the entry stairwell stepped raft, cart away and dispose</t>
        </is>
      </c>
      <c r="C138" s="16" t="inlineStr">
        <is>
          <t>m3</t>
        </is>
      </c>
      <c r="D138" s="17" t="n">
        <v>8</v>
      </c>
      <c r="E138" s="16" t="inlineStr">
        <is>
          <t>21.02</t>
        </is>
      </c>
      <c r="F138" s="18" t="n">
        <v>207</v>
      </c>
      <c r="G138" s="19">
        <f>D138*F138</f>
        <v/>
      </c>
      <c r="H138" s="16" t="inlineStr">
        <is>
          <t>PRICED</t>
        </is>
      </c>
      <c r="I138" s="20" t="inlineStr">
        <is>
          <t>RC4 recorded this as '[A] NOT PRICED' because no rate existed.  A RATE NOW EXISTS.  The QUANTITY tag stays [R] and the ruling is untouched — only the rate column is filled</t>
        </is>
      </c>
    </row>
    <row r="139" ht="40" customHeight="1">
      <c r="A139" s="15" t="inlineStr">
        <is>
          <t>RC4-02</t>
        </is>
      </c>
      <c r="B139" s="16" t="inlineStr">
        <is>
          <t>Supply and place free-draining granular replacement fill, FSI &lt;= 20 % to IS 2720 Pt XL, in 200 mm layers compacted to &gt;= 95 % MDD, incl. 50 mm sand blinding</t>
        </is>
      </c>
      <c r="C139" s="16" t="inlineStr">
        <is>
          <t>m3</t>
        </is>
      </c>
      <c r="D139" s="17" t="n">
        <v>8</v>
      </c>
      <c r="E139" s="16" t="inlineStr">
        <is>
          <t>21.37</t>
        </is>
      </c>
      <c r="F139" s="18" t="n">
        <v>599</v>
      </c>
      <c r="G139" s="19">
        <f>D139*F139</f>
        <v/>
      </c>
      <c r="H139" s="16" t="inlineStr">
        <is>
          <t>PRICED</t>
        </is>
      </c>
      <c r="I139" s="20" t="inlineStr">
        <is>
          <t>As RC4-01.  SSR 21.37 is filling with contractor's material in 15-20 cm layers, watered and compacted — the specified work, at a TIGHTER layer thickness than the schedule assumes</t>
        </is>
      </c>
    </row>
    <row r="140">
      <c r="A140" s="41" t="n"/>
      <c r="B140" s="42" t="inlineStr">
        <is>
          <t>SUB-TOTAL — K</t>
        </is>
      </c>
      <c r="C140" s="41" t="n"/>
      <c r="D140" s="41" t="n"/>
      <c r="E140" s="41" t="n"/>
      <c r="F140" s="41" t="n"/>
      <c r="G140" s="43">
        <f>SUM(G138:G139)</f>
        <v/>
      </c>
      <c r="H140" s="41" t="n"/>
      <c r="I140" s="41" t="n"/>
    </row>
    <row r="142">
      <c r="A142" s="3" t="inlineStr">
        <is>
          <t>L · PROTECTIVE PLANT, CLOSURES AND SERVICES — OUTSIDE THE SSR</t>
        </is>
      </c>
    </row>
    <row r="143" ht="40" customHeight="1">
      <c r="A143" s="35" t="inlineStr">
        <is>
          <t>Z-01</t>
        </is>
      </c>
      <c r="B143" s="36" t="inlineStr">
        <is>
          <t>Blast Doors 1 and 2, &gt;= 7 bar, rebound-rated</t>
        </is>
      </c>
      <c r="C143" s="36" t="inlineStr">
        <is>
          <t>set</t>
        </is>
      </c>
      <c r="D143" s="37" t="n">
        <v>2</v>
      </c>
      <c r="E143" s="36" t="inlineStr">
        <is>
          <t>—</t>
        </is>
      </c>
      <c r="F143" s="44" t="n"/>
      <c r="G143" s="39" t="n"/>
      <c r="H143" s="36" t="inlineStr">
        <is>
          <t>NOT PRICED</t>
        </is>
      </c>
      <c r="I143" s="40" t="inlineStr">
        <is>
          <t>NOT IN THE WM1 BILL AND NOT IN THE SSR.  Recorded here so the estimate is honest about its boundary: the owner's own bill (Cost/USER_BOQ_*, Cost/REVISED_BOQ_*_RC1) prices these from vendor figures.  SSR General Notes Section B: 'The items for which rates are not included in State Schedule of Rates, the rates shall be approved by concerned Superintending Engineer, PWD'</t>
        </is>
      </c>
    </row>
    <row r="144" ht="40" customHeight="1">
      <c r="A144" s="35" t="inlineStr">
        <is>
          <t>Z-02</t>
        </is>
      </c>
      <c r="B144" s="36" t="inlineStr">
        <is>
          <t>Emergency exit hatches, 900 clear, 621 kPa</t>
        </is>
      </c>
      <c r="C144" s="36" t="inlineStr">
        <is>
          <t>set</t>
        </is>
      </c>
      <c r="D144" s="37" t="n">
        <v>2</v>
      </c>
      <c r="E144" s="36" t="inlineStr">
        <is>
          <t>—</t>
        </is>
      </c>
      <c r="F144" s="44" t="n"/>
      <c r="G144" s="39" t="n"/>
      <c r="H144" s="36" t="inlineStr">
        <is>
          <t>NOT PRICED</t>
        </is>
      </c>
      <c r="I144" s="40" t="inlineStr">
        <is>
          <t>NOT IN THE WM1 BILL AND NOT IN THE SSR.  Recorded here so the estimate is honest about its boundary: the owner's own bill (Cost/USER_BOQ_*, Cost/REVISED_BOQ_*_RC1) prices these from vendor figures.  SSR General Notes Section B: 'The items for which rates are not included in State Schedule of Rates, the rates shall be approved by concerned Superintending Engineer, PWD'</t>
        </is>
      </c>
    </row>
    <row r="145" ht="40" customHeight="1">
      <c r="A145" s="35" t="inlineStr">
        <is>
          <t>Z-03</t>
        </is>
      </c>
      <c r="B145" s="36" t="inlineStr">
        <is>
          <t>Fast-acting blast valves BV-1 to BV-3 (DN100)</t>
        </is>
      </c>
      <c r="C145" s="36" t="inlineStr">
        <is>
          <t>set</t>
        </is>
      </c>
      <c r="D145" s="37" t="n">
        <v>3</v>
      </c>
      <c r="E145" s="36" t="inlineStr">
        <is>
          <t>—</t>
        </is>
      </c>
      <c r="F145" s="44" t="n"/>
      <c r="G145" s="39" t="n"/>
      <c r="H145" s="36" t="inlineStr">
        <is>
          <t>NOT PRICED</t>
        </is>
      </c>
      <c r="I145" s="40" t="inlineStr">
        <is>
          <t>NOT IN THE WM1 BILL AND NOT IN THE SSR.  Recorded here so the estimate is honest about its boundary: the owner's own bill (Cost/USER_BOQ_*, Cost/REVISED_BOQ_*_RC1) prices these from vendor figures.  SSR General Notes Section B: 'The items for which rates are not included in State Schedule of Rates, the rates shall be approved by concerned Superintending Engineer, PWD'</t>
        </is>
      </c>
    </row>
    <row r="146" ht="40" customHeight="1">
      <c r="A146" s="35" t="inlineStr">
        <is>
          <t>Z-04</t>
        </is>
      </c>
      <c r="B146" s="36" t="inlineStr">
        <is>
          <t>Generator blast valves BV-4 and BV-5 (DN350)</t>
        </is>
      </c>
      <c r="C146" s="36" t="inlineStr">
        <is>
          <t>set</t>
        </is>
      </c>
      <c r="D146" s="37" t="n">
        <v>2</v>
      </c>
      <c r="E146" s="36" t="inlineStr">
        <is>
          <t>—</t>
        </is>
      </c>
      <c r="F146" s="44" t="n"/>
      <c r="G146" s="39" t="n"/>
      <c r="H146" s="36" t="inlineStr">
        <is>
          <t>NOT PRICED</t>
        </is>
      </c>
      <c r="I146" s="40" t="inlineStr">
        <is>
          <t>NOT IN THE WM1 BILL AND NOT IN THE SSR.  Recorded here so the estimate is honest about its boundary: the owner's own bill (Cost/USER_BOQ_*, Cost/REVISED_BOQ_*_RC1) prices these from vendor figures.  SSR General Notes Section B: 'The items for which rates are not included in State Schedule of Rates, the rates shall be approved by concerned Superintending Engineer, PWD'</t>
        </is>
      </c>
    </row>
    <row r="147" ht="40" customHeight="1">
      <c r="A147" s="35" t="inlineStr">
        <is>
          <t>Z-05</t>
        </is>
      </c>
      <c r="B147" s="36" t="inlineStr">
        <is>
          <t>NBC collective protection trains, 2 x 300 m3/h</t>
        </is>
      </c>
      <c r="C147" s="36" t="inlineStr">
        <is>
          <t>set</t>
        </is>
      </c>
      <c r="D147" s="37" t="n">
        <v>2</v>
      </c>
      <c r="E147" s="36" t="inlineStr">
        <is>
          <t>—</t>
        </is>
      </c>
      <c r="F147" s="44" t="n"/>
      <c r="G147" s="39" t="n"/>
      <c r="H147" s="36" t="inlineStr">
        <is>
          <t>NOT PRICED</t>
        </is>
      </c>
      <c r="I147" s="40" t="inlineStr">
        <is>
          <t>NOT IN THE WM1 BILL AND NOT IN THE SSR.  Recorded here so the estimate is honest about its boundary: the owner's own bill (Cost/USER_BOQ_*, Cost/REVISED_BOQ_*_RC1) prices these from vendor figures.  SSR General Notes Section B: 'The items for which rates are not included in State Schedule of Rates, the rates shall be approved by concerned Superintending Engineer, PWD'</t>
        </is>
      </c>
    </row>
    <row r="148" ht="40" customHeight="1">
      <c r="A148" s="35" t="inlineStr">
        <is>
          <t>Z-06</t>
        </is>
      </c>
      <c r="B148" s="36" t="inlineStr">
        <is>
          <t>Sealed Zone-2 welded EMP enclosure, 3 x 3 x 2.4 m</t>
        </is>
      </c>
      <c r="C148" s="36" t="inlineStr">
        <is>
          <t>item</t>
        </is>
      </c>
      <c r="D148" s="37" t="n">
        <v>1</v>
      </c>
      <c r="E148" s="36" t="inlineStr">
        <is>
          <t>—</t>
        </is>
      </c>
      <c r="F148" s="44" t="n"/>
      <c r="G148" s="39" t="n"/>
      <c r="H148" s="36" t="inlineStr">
        <is>
          <t>NOT PRICED</t>
        </is>
      </c>
      <c r="I148" s="40" t="inlineStr">
        <is>
          <t>NOT IN THE WM1 BILL AND NOT IN THE SSR.  Recorded here so the estimate is honest about its boundary: the owner's own bill (Cost/USER_BOQ_*, Cost/REVISED_BOQ_*_RC1) prices these from vendor figures.  SSR General Notes Section B: 'The items for which rates are not included in State Schedule of Rates, the rates shall be approved by concerned Superintending Engineer, PWD'</t>
        </is>
      </c>
    </row>
    <row r="149" ht="40" customHeight="1">
      <c r="A149" s="35" t="inlineStr">
        <is>
          <t>Z-07</t>
        </is>
      </c>
      <c r="B149" s="36" t="inlineStr">
        <is>
          <t>Submersible sump pumps, effluent piping and septic</t>
        </is>
      </c>
      <c r="C149" s="36" t="inlineStr">
        <is>
          <t>set</t>
        </is>
      </c>
      <c r="D149" s="37" t="n">
        <v>1</v>
      </c>
      <c r="E149" s="36" t="inlineStr">
        <is>
          <t>—</t>
        </is>
      </c>
      <c r="F149" s="44" t="n"/>
      <c r="G149" s="39" t="n"/>
      <c r="H149" s="36" t="inlineStr">
        <is>
          <t>NOT PRICED</t>
        </is>
      </c>
      <c r="I149" s="40" t="inlineStr">
        <is>
          <t>NOT IN THE WM1 BILL AND NOT IN THE SSR.  Recorded here so the estimate is honest about its boundary: the owner's own bill (Cost/USER_BOQ_*, Cost/REVISED_BOQ_*_RC1) prices these from vendor figures.  SSR General Notes Section B: 'The items for which rates are not included in State Schedule of Rates, the rates shall be approved by concerned Superintending Engineer, PWD'</t>
        </is>
      </c>
    </row>
    <row r="150" ht="40" customHeight="1">
      <c r="A150" s="35" t="inlineStr">
        <is>
          <t>Z-08</t>
        </is>
      </c>
      <c r="B150" s="36" t="inlineStr">
        <is>
          <t>Standby generator 15 kVA in bay 8, fuel system, exhaust and acoustic treatment</t>
        </is>
      </c>
      <c r="C150" s="36" t="inlineStr">
        <is>
          <t>set</t>
        </is>
      </c>
      <c r="D150" s="37" t="n">
        <v>1</v>
      </c>
      <c r="E150" s="36" t="inlineStr">
        <is>
          <t>—</t>
        </is>
      </c>
      <c r="F150" s="44" t="n"/>
      <c r="G150" s="39" t="n"/>
      <c r="H150" s="36" t="inlineStr">
        <is>
          <t>NOT PRICED</t>
        </is>
      </c>
      <c r="I150" s="40" t="inlineStr">
        <is>
          <t>NOT IN THE WM1 BILL AND NOT IN THE SSR.  Recorded here so the estimate is honest about its boundary: the owner's own bill (Cost/USER_BOQ_*, Cost/REVISED_BOQ_*_RC1) prices these from vendor figures.  SSR General Notes Section B: 'The items for which rates are not included in State Schedule of Rates, the rates shall be approved by concerned Superintending Engineer, PWD'</t>
        </is>
      </c>
    </row>
    <row r="151" ht="40" customHeight="1">
      <c r="A151" s="35" t="inlineStr">
        <is>
          <t>Z-09</t>
        </is>
      </c>
      <c r="B151" s="36" t="inlineStr">
        <is>
          <t>Testing, commissioning and envelope leakage test</t>
        </is>
      </c>
      <c r="C151" s="36" t="inlineStr">
        <is>
          <t>item</t>
        </is>
      </c>
      <c r="D151" s="37" t="n">
        <v>1</v>
      </c>
      <c r="E151" s="36" t="inlineStr">
        <is>
          <t>—</t>
        </is>
      </c>
      <c r="F151" s="44" t="n"/>
      <c r="G151" s="39" t="n"/>
      <c r="H151" s="36" t="inlineStr">
        <is>
          <t>NOT PRICED</t>
        </is>
      </c>
      <c r="I151" s="40" t="inlineStr">
        <is>
          <t>NOT IN THE WM1 BILL AND NOT IN THE SSR.  Recorded here so the estimate is honest about its boundary: the owner's own bill (Cost/USER_BOQ_*, Cost/REVISED_BOQ_*_RC1) prices these from vendor figures.  SSR General Notes Section B: 'The items for which rates are not included in State Schedule of Rates, the rates shall be approved by concerned Superintending Engineer, PWD'</t>
        </is>
      </c>
    </row>
    <row r="152">
      <c r="A152" s="41" t="n"/>
      <c r="B152" s="42" t="inlineStr">
        <is>
          <t>SUB-TOTAL — L</t>
        </is>
      </c>
      <c r="C152" s="41" t="n"/>
      <c r="D152" s="41" t="n"/>
      <c r="E152" s="41" t="n"/>
      <c r="F152" s="41" t="n"/>
      <c r="G152" s="43">
        <f>SUM(G143:G151)</f>
        <v/>
      </c>
      <c r="H152" s="41" t="n"/>
      <c r="I152" s="41" t="n"/>
    </row>
    <row r="154">
      <c r="A154" s="41" t="n"/>
      <c r="B154" s="45" t="inlineStr">
        <is>
          <t>TOTAL OF ITEMS — carried to the Recapitulation sheet</t>
        </is>
      </c>
      <c r="C154" s="41" t="n"/>
      <c r="D154" s="41" t="n"/>
      <c r="E154" s="41" t="n"/>
      <c r="F154" s="41" t="n"/>
      <c r="G154" s="46">
        <f>G25+G43+G59+G64+G76+G88+G102+G119+G129+G135+G140+G152</f>
        <v/>
      </c>
      <c r="H154" s="41" t="n"/>
      <c r="I154" s="41" t="n"/>
    </row>
  </sheetData>
  <mergeCells count="14">
    <mergeCell ref="A104:I104"/>
    <mergeCell ref="A1:J1"/>
    <mergeCell ref="A90:I90"/>
    <mergeCell ref="A142:I142"/>
    <mergeCell ref="A121:I121"/>
    <mergeCell ref="A137:I137"/>
    <mergeCell ref="A66:I66"/>
    <mergeCell ref="A45:I45"/>
    <mergeCell ref="A27:I27"/>
    <mergeCell ref="A61:I61"/>
    <mergeCell ref="A2:J2"/>
    <mergeCell ref="A131:I131"/>
    <mergeCell ref="A4:I4"/>
    <mergeCell ref="A78:I78"/>
  </mergeCells>
  <pageMargins left="0.3" right="0.3" top="0.4" bottom="0.4" header="0.5" footer="0.5"/>
  <pageSetup orientation="landscape" fitToWidth="1"/>
</worksheet>
</file>

<file path=xl/worksheets/sheet3.xml><?xml version="1.0" encoding="utf-8"?>
<worksheet xmlns="http://schemas.openxmlformats.org/spreadsheetml/2006/main">
  <sheetPr>
    <outlinePr summaryBelow="1" summaryRight="1"/>
    <pageSetUpPr/>
  </sheetPr>
  <dimension ref="A1:F22"/>
  <sheetViews>
    <sheetView showGridLines="0" workbookViewId="0">
      <pane ySplit="3" topLeftCell="A4" activePane="bottomLeft" state="frozen"/>
      <selection pane="bottomLeft" activeCell="A1" sqref="A1"/>
    </sheetView>
  </sheetViews>
  <sheetFormatPr baseColWidth="8" defaultRowHeight="15"/>
  <cols>
    <col width="5" customWidth="1" min="1" max="1"/>
    <col width="56" customWidth="1" min="2" max="2"/>
    <col width="40" customWidth="1" min="3" max="3"/>
    <col width="10" customWidth="1" min="4" max="4"/>
    <col width="18" customWidth="1" min="5" max="5"/>
    <col width="86" customWidth="1" min="6" max="6"/>
  </cols>
  <sheetData>
    <row r="1" ht="26" customHeight="1">
      <c r="A1" s="1" t="inlineStr">
        <is>
          <t>RECAPITULATION</t>
        </is>
      </c>
    </row>
    <row r="2" ht="22" customHeight="1">
      <c r="A2" s="2" t="inlineStr">
        <is>
          <t>Block A is the SSR's own recapitulation, General Notes Section B.  Block B is the project owner's provision structure, carried from their RC1 estimate and kept separate because it is not part of the schedule.  Block D is what must NOT be added.</t>
        </is>
      </c>
    </row>
    <row r="3" ht="32" customHeight="1">
      <c r="A3" s="14" t="inlineStr"/>
      <c r="B3" s="14" t="inlineStr">
        <is>
          <t>Head</t>
        </is>
      </c>
      <c r="C3" s="14" t="inlineStr">
        <is>
          <t>Basis</t>
        </is>
      </c>
      <c r="D3" s="14" t="inlineStr">
        <is>
          <t>Rate</t>
        </is>
      </c>
      <c r="E3" s="14" t="inlineStr">
        <is>
          <t>Amount (Rs)</t>
        </is>
      </c>
      <c r="F3" s="14" t="inlineStr">
        <is>
          <t>Source / note</t>
        </is>
      </c>
    </row>
    <row r="4" ht="13" customHeight="1">
      <c r="A4" s="42" t="inlineStr">
        <is>
          <t>A</t>
        </is>
      </c>
      <c r="B4" s="47" t="inlineStr">
        <is>
          <t>Total of items — SSR 2022-23 completed rates, excl. GST</t>
        </is>
      </c>
      <c r="C4" s="47" t="inlineStr">
        <is>
          <t>sum of the priced bill</t>
        </is>
      </c>
      <c r="D4" s="48" t="n"/>
      <c r="E4" s="43">
        <f>'BOQ priced'!G154</f>
        <v/>
      </c>
      <c r="F4" s="49" t="inlineStr">
        <is>
          <t>this bill</t>
        </is>
      </c>
    </row>
    <row r="5" ht="13" customHeight="1">
      <c r="A5" s="15" t="inlineStr">
        <is>
          <t>A</t>
        </is>
      </c>
      <c r="B5" s="16" t="inlineStr">
        <is>
          <t>Insurance of project / work facility</t>
        </is>
      </c>
      <c r="C5" s="16" t="inlineStr">
        <is>
          <t>1.00 % — work value above Rs 25.00 lakh</t>
        </is>
      </c>
      <c r="D5" s="50" t="n">
        <v>0.01</v>
      </c>
      <c r="E5" s="19">
        <f>$E$4*D5</f>
        <v/>
      </c>
      <c r="F5" s="20" t="inlineStr">
        <is>
          <t>SSR General Notes Section B (i) A</t>
        </is>
      </c>
    </row>
    <row r="6" ht="13" customHeight="1">
      <c r="A6" s="15" t="inlineStr">
        <is>
          <t>A</t>
        </is>
      </c>
      <c r="B6" s="16" t="inlineStr">
        <is>
          <t>Labour insurance</t>
        </is>
      </c>
      <c r="C6" s="16" t="inlineStr">
        <is>
          <t>1.00 % — work value above Rs 25.00 lakh</t>
        </is>
      </c>
      <c r="D6" s="50" t="n">
        <v>0.01</v>
      </c>
      <c r="E6" s="19">
        <f>$E$4*D6</f>
        <v/>
      </c>
      <c r="F6" s="20" t="inlineStr">
        <is>
          <t>SSR General Notes Section B (i) B</t>
        </is>
      </c>
    </row>
    <row r="7" ht="20" customHeight="1">
      <c r="A7" s="15" t="inlineStr">
        <is>
          <t>A</t>
        </is>
      </c>
      <c r="B7" s="16" t="inlineStr">
        <is>
          <t>Material testing charges</t>
        </is>
      </c>
      <c r="C7" s="16" t="inlineStr">
        <is>
          <t>SSR chapter 18, Testing Charges and Frequency of Test</t>
        </is>
      </c>
      <c r="D7" s="50" t="n"/>
      <c r="E7" s="19" t="n"/>
      <c r="F7" s="20" t="inlineStr">
        <is>
          <t>NOT QUANTIFIED — the test schedule is priced per test and the frequencies depend on delivered lot sizes</t>
        </is>
      </c>
    </row>
    <row r="8" ht="13" customHeight="1">
      <c r="A8" s="42" t="inlineStr">
        <is>
          <t>A</t>
        </is>
      </c>
      <c r="B8" s="42" t="inlineStr">
        <is>
          <t>SUB-TOTAL — SSR recapitulation, before GST</t>
        </is>
      </c>
      <c r="C8" s="47" t="inlineStr"/>
      <c r="D8" s="48" t="n"/>
      <c r="E8" s="43">
        <f>E4+E5+E6</f>
        <v/>
      </c>
      <c r="F8" s="49" t="inlineStr"/>
    </row>
    <row r="9" ht="20" customHeight="1">
      <c r="A9" s="15" t="inlineStr">
        <is>
          <t>B</t>
        </is>
      </c>
      <c r="B9" s="16" t="inlineStr">
        <is>
          <t>Contingencies</t>
        </is>
      </c>
      <c r="C9" s="16" t="inlineStr">
        <is>
          <t>3 % of the item total</t>
        </is>
      </c>
      <c r="D9" s="50" t="n">
        <v>0.03</v>
      </c>
      <c r="E9" s="19">
        <f>$E$4*D9</f>
        <v/>
      </c>
      <c r="F9" s="20" t="inlineStr">
        <is>
          <t>Project owner's own provision structure, carried from their RC1 estimate.  NOT part of the schedule of rates</t>
        </is>
      </c>
    </row>
    <row r="10" ht="20" customHeight="1">
      <c r="A10" s="15" t="inlineStr">
        <is>
          <t>B</t>
        </is>
      </c>
      <c r="B10" s="16" t="inlineStr">
        <is>
          <t>Water and electricity provisions</t>
        </is>
      </c>
      <c r="C10" s="16" t="inlineStr">
        <is>
          <t>1 % of the item total</t>
        </is>
      </c>
      <c r="D10" s="50" t="n">
        <v>0.01</v>
      </c>
      <c r="E10" s="19">
        <f>$E$4*D10</f>
        <v/>
      </c>
      <c r="F10" s="20" t="inlineStr">
        <is>
          <t>Project owner's own provision structure, carried from their RC1 estimate.  NOT part of the schedule of rates</t>
        </is>
      </c>
    </row>
    <row r="11" ht="20" customHeight="1">
      <c r="A11" s="15" t="inlineStr">
        <is>
          <t>B</t>
        </is>
      </c>
      <c r="B11" s="16" t="inlineStr">
        <is>
          <t>Specialist CBRN / EMP and engineering consultant</t>
        </is>
      </c>
      <c r="C11" s="16" t="inlineStr">
        <is>
          <t>6 % of the item total</t>
        </is>
      </c>
      <c r="D11" s="50" t="n">
        <v>0.06</v>
      </c>
      <c r="E11" s="19">
        <f>$E$4*D11</f>
        <v/>
      </c>
      <c r="F11" s="20" t="inlineStr">
        <is>
          <t>Project owner's own provision structure, carried from their RC1 estimate.  NOT part of the schedule of rates</t>
        </is>
      </c>
    </row>
    <row r="12" ht="20" customHeight="1">
      <c r="A12" s="15" t="inlineStr">
        <is>
          <t>B</t>
        </is>
      </c>
      <c r="B12" s="16" t="inlineStr">
        <is>
          <t>Site supervision and quality assurance</t>
        </is>
      </c>
      <c r="C12" s="16" t="inlineStr">
        <is>
          <t>2 % of the item total</t>
        </is>
      </c>
      <c r="D12" s="50" t="n">
        <v>0.02</v>
      </c>
      <c r="E12" s="19">
        <f>$E$4*D12</f>
        <v/>
      </c>
      <c r="F12" s="20" t="inlineStr">
        <is>
          <t>Project owner's own provision structure, carried from their RC1 estimate.  NOT part of the schedule of rates</t>
        </is>
      </c>
    </row>
    <row r="13" ht="20" customHeight="1">
      <c r="A13" s="15" t="inlineStr">
        <is>
          <t>B</t>
        </is>
      </c>
      <c r="B13" s="16" t="inlineStr">
        <is>
          <t>Statutory clearances and liaisoning</t>
        </is>
      </c>
      <c r="C13" s="16" t="inlineStr">
        <is>
          <t>1 % of the item total</t>
        </is>
      </c>
      <c r="D13" s="50" t="n">
        <v>0.01</v>
      </c>
      <c r="E13" s="19">
        <f>$E$4*D13</f>
        <v/>
      </c>
      <c r="F13" s="20" t="inlineStr">
        <is>
          <t>Project owner's own provision structure, carried from their RC1 estimate.  NOT part of the schedule of rates</t>
        </is>
      </c>
    </row>
    <row r="14" ht="13" customHeight="1">
      <c r="A14" s="42" t="inlineStr">
        <is>
          <t>B</t>
        </is>
      </c>
      <c r="B14" s="42" t="inlineStr">
        <is>
          <t>SUB-TOTAL — before GST</t>
        </is>
      </c>
      <c r="C14" s="47" t="inlineStr"/>
      <c r="D14" s="48" t="n"/>
      <c r="E14" s="43">
        <f>E8+E9+E10+E11+E12+E13</f>
        <v/>
      </c>
      <c r="F14" s="49" t="inlineStr"/>
    </row>
    <row r="15" ht="20" customHeight="1">
      <c r="A15" s="15" t="inlineStr">
        <is>
          <t>C</t>
        </is>
      </c>
      <c r="B15" s="16" t="inlineStr">
        <is>
          <t>GST on works contract</t>
        </is>
      </c>
      <c r="C15" s="16" t="inlineStr">
        <is>
          <t>18 % [A]</t>
        </is>
      </c>
      <c r="D15" s="51" t="n">
        <v>0.18</v>
      </c>
      <c r="E15" s="19">
        <f>E14*D15</f>
        <v/>
      </c>
      <c r="F15" s="20" t="inlineStr">
        <is>
          <t>SSR requires a separate provision in the recapitulation sheet but does NOT fix the rate — tagged [A]</t>
        </is>
      </c>
    </row>
    <row r="16" ht="13" customHeight="1">
      <c r="A16" s="42" t="inlineStr">
        <is>
          <t>C</t>
        </is>
      </c>
      <c r="B16" s="42" t="inlineStr">
        <is>
          <t>ESTIMATED COST — civil works priced from SSR 2022-23</t>
        </is>
      </c>
      <c r="C16" s="47" t="inlineStr"/>
      <c r="D16" s="48" t="n"/>
      <c r="E16" s="46">
        <f>E14+E15</f>
        <v/>
      </c>
      <c r="F16" s="49" t="inlineStr">
        <is>
          <t>EXCLUDES every NOT PRICED item — see the exclusions register</t>
        </is>
      </c>
    </row>
    <row r="17" ht="20" customHeight="1">
      <c r="A17" s="15" t="inlineStr">
        <is>
          <t>D</t>
        </is>
      </c>
      <c r="B17" s="16" t="inlineStr">
        <is>
          <t>Contractor's overhead — NOT ADDED</t>
        </is>
      </c>
      <c r="C17" s="16" t="inlineStr">
        <is>
          <t>10 %</t>
        </is>
      </c>
      <c r="D17" s="50" t="n"/>
      <c r="E17" s="19" t="n"/>
      <c r="F17" s="20" t="inlineStr">
        <is>
          <t>ALREADY INSIDE EVERY SSR COMPLETED RATE.  General Notes: 'For labour amenities and all other overhead charges, 10 % provision is considered in Rate Abstract'</t>
        </is>
      </c>
    </row>
    <row r="18" ht="20" customHeight="1">
      <c r="A18" s="15" t="inlineStr">
        <is>
          <t>D</t>
        </is>
      </c>
      <c r="B18" s="16" t="inlineStr">
        <is>
          <t>Contractor's profit — NOT ADDED</t>
        </is>
      </c>
      <c r="C18" s="16" t="inlineStr">
        <is>
          <t>10 %</t>
        </is>
      </c>
      <c r="D18" s="50" t="n"/>
      <c r="E18" s="19" t="n"/>
      <c r="F18" s="20" t="inlineStr">
        <is>
          <t>ALREADY INSIDE EVERY SSR COMPLETED RATE.  General Notes: 'In addition, 10 % provision for Contractor's Profit is also considered separately'</t>
        </is>
      </c>
    </row>
    <row r="19" ht="20" customHeight="1">
      <c r="A19" s="15" t="inlineStr">
        <is>
          <t>D</t>
        </is>
      </c>
      <c r="B19" s="16" t="inlineStr">
        <is>
          <t>Labour cess — NOT ADDED</t>
        </is>
      </c>
      <c r="C19" s="16" t="inlineStr">
        <is>
          <t>1 %</t>
        </is>
      </c>
      <c r="D19" s="50" t="n"/>
      <c r="E19" s="19" t="n"/>
      <c r="F19" s="20" t="inlineStr">
        <is>
          <t>ALREADY INSIDE EVERY SSR COMPLETED RATE.  General Notes, Govt. Circular SSR-1090/CR-6453/PLN-3 dt. 14.07.1993: 'Labour Cess at 1 % has been considered separately in Rate Abstracts'</t>
        </is>
      </c>
    </row>
    <row r="21">
      <c r="B21" s="52" t="inlineStr">
        <is>
          <t>THE YELLOW CELL IS THE ONLY LEVER IN THIS WORKBOOK</t>
        </is>
      </c>
    </row>
    <row r="22">
      <c r="B22" s="53" t="inlineStr">
        <is>
          <t>Change the GST rate in D15 and every figure below it recalculates.  Percentages in blue are inputs.</t>
        </is>
      </c>
    </row>
  </sheetData>
  <mergeCells count="2">
    <mergeCell ref="A2:F2"/>
    <mergeCell ref="A1:F1"/>
  </mergeCells>
  <pageMargins left="0.3" right="0.3" top="0.4" bottom="0.4" header="0.5" footer="0.5"/>
  <pageSetup orientation="landscape" fitToWidth="1"/>
</worksheet>
</file>

<file path=xl/worksheets/sheet4.xml><?xml version="1.0" encoding="utf-8"?>
<worksheet xmlns="http://schemas.openxmlformats.org/spreadsheetml/2006/main">
  <sheetPr>
    <outlinePr summaryBelow="1" summaryRight="1"/>
    <pageSetUpPr/>
  </sheetPr>
  <dimension ref="A1:C20"/>
  <sheetViews>
    <sheetView showGridLines="0" workbookViewId="0">
      <pane ySplit="3" topLeftCell="A4" activePane="bottomLeft" state="frozen"/>
      <selection pane="bottomLeft" activeCell="A1" sqref="A1"/>
    </sheetView>
  </sheetViews>
  <sheetFormatPr baseColWidth="8" defaultRowHeight="15"/>
  <cols>
    <col width="22" customWidth="1" min="1" max="1"/>
    <col width="14" customWidth="1" min="2" max="2"/>
    <col width="130" customWidth="1" min="3" max="3"/>
  </cols>
  <sheetData>
    <row r="1" ht="26" customHeight="1">
      <c r="A1" s="1" t="inlineStr">
        <is>
          <t>RATE DERIVATION</t>
        </is>
      </c>
    </row>
    <row r="2" ht="22" customHeight="1">
      <c r="A2" s="2" t="inlineStr">
        <is>
          <t>Every rate in the bill that is not a straight SSR item, with the arithmetic that produced it.  The method is the SSR's own.</t>
        </is>
      </c>
    </row>
    <row r="3" ht="32" customHeight="1">
      <c r="A3" s="14" t="inlineStr">
        <is>
          <t>Derived rate</t>
        </is>
      </c>
      <c r="B3" s="14" t="inlineStr">
        <is>
          <t>Rs</t>
        </is>
      </c>
      <c r="C3" s="14" t="inlineStr">
        <is>
          <t>Working</t>
        </is>
      </c>
    </row>
    <row r="4" ht="30" customHeight="1">
      <c r="A4" s="15" t="inlineStr">
        <is>
          <t>PARDI_M35</t>
        </is>
      </c>
      <c r="B4" s="19" t="n">
        <v>16024.97</v>
      </c>
      <c r="C4" s="20" t="inlineStr">
        <is>
          <t>SSR 26.19 R.C.C. pardi M-25 = 15750.  Highest grade published for this item is M-25; the box is M-35.  General Notes Section B: derive by adding the difference in standard cement consumption.  (8.25 - 7.50) bags x 50 kg x Rs 6.00/kg x 1.2221 on-cost = 274.97.  15750 + 274.97 = 16024.97 /m3</t>
        </is>
      </c>
    </row>
    <row r="5" ht="20" customHeight="1">
      <c r="A5" s="15" t="inlineStr">
        <is>
          <t>PARDI_M30</t>
        </is>
      </c>
      <c r="B5" s="19" t="n">
        <v>15933.32</v>
      </c>
      <c r="C5" s="20" t="inlineStr">
        <is>
          <t>SSR 26.19 R.C.C. pardi M-25 = 15750.  Sentry post parapet is M-30.  (8.00 - 7.50) bags x 50 kg x Rs 6.00/kg x 1.2221 = 183.32.  15750 + 183.32 = 15933.32 /m3</t>
        </is>
      </c>
    </row>
    <row r="6" ht="20" customHeight="1">
      <c r="A6" s="15" t="inlineStr">
        <is>
          <t>WAIST_M35</t>
        </is>
      </c>
      <c r="B6" s="19" t="n">
        <v>12518.97</v>
      </c>
      <c r="C6" s="20" t="inlineStr">
        <is>
          <t>SSR 26.26 R.C.C. waist slab and steps of staircases M-25 = 12244.  Highest grade published for this item is M-25; the main staircase is M-35.  (8.25 - 7.50) bags x 50 kg x Rs 6.00/kg x 1.2221 = 274.97.  12244 + 274.97 = 12518.97 /m3</t>
        </is>
      </c>
    </row>
    <row r="7" ht="13" customHeight="1">
      <c r="A7" s="15" t="inlineStr">
        <is>
          <t>ROCK_0_3</t>
        </is>
      </c>
      <c r="B7" s="19" t="n">
        <v>1307</v>
      </c>
      <c r="C7" s="20" t="inlineStr">
        <is>
          <t>SSR 21.20 hard rock by chiselling / wedging / line drilling, mechanical = 1307.  Depth below 3.0 m: no increase</t>
        </is>
      </c>
    </row>
    <row r="8" ht="13" customHeight="1">
      <c r="A8" s="15" t="inlineStr">
        <is>
          <t>ROCK_3_45</t>
        </is>
      </c>
      <c r="B8" s="19" t="n">
        <v>1568.4</v>
      </c>
      <c r="C8" s="20" t="inlineStr">
        <is>
          <t>SSR 21.20 = 1307 x 1.20.  Section B: '3.0 m to 4.50 m depth add 20 %'</t>
        </is>
      </c>
    </row>
    <row r="9" ht="13" customHeight="1">
      <c r="A9" s="15" t="inlineStr">
        <is>
          <t>ROCK_45_6</t>
        </is>
      </c>
      <c r="B9" s="19" t="n">
        <v>1699.1</v>
      </c>
      <c r="C9" s="20" t="inlineStr">
        <is>
          <t>SSR 21.20 = 1307 x 1.30.  Section B: '4.5 m to 6.0 m depth add 30 %'</t>
        </is>
      </c>
    </row>
    <row r="10" ht="30" customHeight="1">
      <c r="A10" s="15" t="inlineStr">
        <is>
          <t>ROCK_6_PLUS</t>
        </is>
      </c>
      <c r="B10" s="19" t="n">
        <v>1699.1</v>
      </c>
      <c r="C10" s="20" t="inlineStr">
        <is>
          <t>SSR 21.20 = 1307 x 1.30.  [A] Section B stops at 6.0 m: 'Depth beyond 6.0 m - extra percent to be decided by concerned Superintending Engineer'.  NO PERCENTAGE IS INVENTED HERE.  The 4.5-6.0 m band's 30 % is carried on as a DECLARED LOWER BOUND so the line is not left blank; the true figure can only be higher.  Open item WM4-V1</t>
        </is>
      </c>
    </row>
    <row r="11" ht="13" customHeight="1">
      <c r="A11" s="15" t="inlineStr">
        <is>
          <t>M30_SLAB_FF</t>
        </is>
      </c>
      <c r="B11" s="19" t="n">
        <v>14441.99</v>
      </c>
      <c r="C11" s="20" t="inlineStr">
        <is>
          <t>SSR 25.74 = 14299 x 1.01.  Section B floor lift: 'First floor 1 %'</t>
        </is>
      </c>
    </row>
    <row r="12" ht="13" customHeight="1">
      <c r="A12" s="15" t="inlineStr">
        <is>
          <t>M30_BEAM_FF</t>
        </is>
      </c>
      <c r="B12" s="19" t="n">
        <v>12761.35</v>
      </c>
      <c r="C12" s="20" t="inlineStr">
        <is>
          <t>SSR 25.54 = 12635 x 1.01.  Section B floor lift: 'First floor 1 %'</t>
        </is>
      </c>
    </row>
    <row r="13" ht="13" customHeight="1">
      <c r="A13" s="15" t="inlineStr">
        <is>
          <t>PARDI_M30_FF</t>
        </is>
      </c>
      <c r="B13" s="19" t="n">
        <v>16092.65</v>
      </c>
      <c r="C13" s="20" t="inlineStr">
        <is>
          <t>Derived M-30 pardi 15933.32 x 1.01 (first floor lift 1 %)</t>
        </is>
      </c>
    </row>
    <row r="14" ht="13" customHeight="1">
      <c r="A14" s="15" t="inlineStr">
        <is>
          <t>BRICK_FF</t>
        </is>
      </c>
      <c r="B14" s="19" t="n">
        <v>8073.94</v>
      </c>
      <c r="C14" s="20" t="inlineStr">
        <is>
          <t>SSR 27.05 = 7994 x 1.01 (first floor lift 1 %)</t>
        </is>
      </c>
    </row>
    <row r="15" ht="20" customHeight="1">
      <c r="A15" s="15" t="inlineStr">
        <is>
          <t>MEMBRANE_PROT</t>
        </is>
      </c>
      <c r="B15" s="19" t="n">
        <v>1068</v>
      </c>
      <c r="C15" s="20" t="inlineStr">
        <is>
          <t>SSR 51.114 membrane 678 + SSR 51.115 20 mm protective screed 390 = 1068 /m2.  WP-06 is specified as external-grade membrane PLUS protection</t>
        </is>
      </c>
    </row>
    <row r="17">
      <c r="A17" s="52" t="inlineStr">
        <is>
          <t>THE CHECK THAT MAKES THESE USABLE</t>
        </is>
      </c>
    </row>
    <row r="18">
      <c r="A18" s="54" t="inlineStr">
        <is>
          <t>M20 to M25</t>
        </is>
      </c>
      <c r="B18" s="55" t="n">
        <v>183.32</v>
      </c>
      <c r="C18" s="56" t="inlineStr">
        <is>
          <t>The SSR publishes this step itself, in four separate item families, as 183 / 184.  The formula reproduces it, so the same formula can be trusted where the SSR stops publishing.</t>
        </is>
      </c>
    </row>
    <row r="19">
      <c r="A19" s="54" t="inlineStr">
        <is>
          <t>M25 to M30</t>
        </is>
      </c>
      <c r="B19" s="55" t="n">
        <v>183.32</v>
      </c>
      <c r="C19" s="56" t="inlineStr">
        <is>
          <t>The SSR publishes this step itself, in four separate item families, as 183 / 184.  The formula reproduces it, so the same formula can be trusted where the SSR stops publishing.</t>
        </is>
      </c>
    </row>
    <row r="20">
      <c r="A20" s="54" t="inlineStr">
        <is>
          <t>M30 to M35</t>
        </is>
      </c>
      <c r="B20" s="55" t="n">
        <v>91.66</v>
      </c>
      <c r="C20" s="56" t="inlineStr">
        <is>
          <t>The SSR publishes this step itself, in four separate item families, as 91 / 92.  The formula reproduces it, so the same formula can be trusted where the SSR stops publishing.</t>
        </is>
      </c>
    </row>
  </sheetData>
  <mergeCells count="2">
    <mergeCell ref="A1:C1"/>
    <mergeCell ref="A2:C2"/>
  </mergeCells>
  <pageMargins left="0.3" right="0.3" top="0.4" bottom="0.4" header="0.5" footer="0.5"/>
  <pageSetup orientation="landscape" fitToWidth="1"/>
</worksheet>
</file>

<file path=xl/worksheets/sheet5.xml><?xml version="1.0" encoding="utf-8"?>
<worksheet xmlns="http://schemas.openxmlformats.org/spreadsheetml/2006/main">
  <sheetPr>
    <outlinePr summaryBelow="1" summaryRight="1"/>
    <pageSetUpPr/>
  </sheetPr>
  <dimension ref="A1:H41"/>
  <sheetViews>
    <sheetView showGridLines="0" workbookViewId="0">
      <pane ySplit="3" topLeftCell="A4" activePane="bottomLeft" state="frozen"/>
      <selection pane="bottomLeft" activeCell="A1" sqref="A1"/>
    </sheetView>
  </sheetViews>
  <sheetFormatPr baseColWidth="8" defaultRowHeight="15"/>
  <cols>
    <col width="12" customWidth="1" min="1" max="1"/>
    <col width="30" customWidth="1" min="2" max="2"/>
    <col width="118" customWidth="1" min="3" max="3"/>
    <col width="8" customWidth="1" min="4" max="4"/>
    <col width="17" customWidth="1" min="5" max="5"/>
    <col width="15" customWidth="1" min="6" max="6"/>
    <col width="10" customWidth="1" min="7" max="7"/>
    <col width="10" customWidth="1" min="8" max="8"/>
  </cols>
  <sheetData>
    <row r="1" ht="26" customHeight="1">
      <c r="A1" s="1" t="inlineStr">
        <is>
          <t>SSR 2022-23 — EVERY RATE USED, AS PUBLISHED</t>
        </is>
      </c>
    </row>
    <row r="2" ht="22" customHeight="1">
      <c r="A2" s="2" t="inlineStr">
        <is>
          <t>Read out of the owner's PDF and re-verified against the raw page text.  'Completed rate' and 'Labour rate' are the SSR's own column headings, both excluding GST.</t>
        </is>
      </c>
    </row>
    <row r="3" ht="32" customHeight="1">
      <c r="A3" s="14" t="inlineStr">
        <is>
          <t>SSR item</t>
        </is>
      </c>
      <c r="B3" s="14" t="inlineStr">
        <is>
          <t>SSR chapter</t>
        </is>
      </c>
      <c r="C3" s="14" t="inlineStr">
        <is>
          <t>Description (SSR wording, trimmed)</t>
        </is>
      </c>
      <c r="D3" s="14" t="inlineStr">
        <is>
          <t>Unit</t>
        </is>
      </c>
      <c r="E3" s="14" t="inlineStr">
        <is>
          <t>Completed rate (Rs)</t>
        </is>
      </c>
      <c r="F3" s="14" t="inlineStr">
        <is>
          <t>Labour rate (Rs)</t>
        </is>
      </c>
      <c r="G3" s="14" t="inlineStr">
        <is>
          <t>SSR page</t>
        </is>
      </c>
      <c r="H3" s="14" t="inlineStr">
        <is>
          <t>PDF page</t>
        </is>
      </c>
    </row>
    <row r="4" ht="50" customHeight="1">
      <c r="A4" s="16" t="inlineStr">
        <is>
          <t>21.02</t>
        </is>
      </c>
      <c r="B4" s="16" t="inlineStr">
        <is>
          <t>Excavation</t>
        </is>
      </c>
      <c r="C4" s="20" t="inlineStr">
        <is>
          <t>Excavation for foundation in earth, soil of all types, sand, gravel and soft murum, including removing the excavated material up to a distance of 50 m beyond the building area and stacking and spreading as directed, dewatering, preparing the bed for the foundation and necessary back filling, ramming, watering including shoring and strutting etc. complete. (Lift upto 1.5 m.) By Mechanical Means</t>
        </is>
      </c>
      <c r="D4" s="16" t="inlineStr">
        <is>
          <t>m3</t>
        </is>
      </c>
      <c r="E4" s="57" t="n">
        <v>207</v>
      </c>
      <c r="F4" s="57" t="n">
        <v>116</v>
      </c>
      <c r="G4" s="16" t="n">
        <v>153</v>
      </c>
      <c r="H4" s="16" t="n">
        <v>160</v>
      </c>
    </row>
    <row r="5" ht="20" customHeight="1">
      <c r="A5" s="16" t="inlineStr">
        <is>
          <t>21.04</t>
        </is>
      </c>
      <c r="B5" s="16" t="inlineStr">
        <is>
          <t>Excavation</t>
        </is>
      </c>
      <c r="C5" s="20" t="inlineStr">
        <is>
          <t>Excavation for foundation in earth, soils of all types, sand, gravel and soft murum ... (Lift from 1.5 m to 3.0 m) By Mechanical Means</t>
        </is>
      </c>
      <c r="D5" s="16" t="inlineStr">
        <is>
          <t>m3</t>
        </is>
      </c>
      <c r="E5" s="57" t="n">
        <v>258</v>
      </c>
      <c r="F5" s="57" t="n">
        <v>144</v>
      </c>
      <c r="G5" s="16" t="n">
        <v>153</v>
      </c>
      <c r="H5" s="16" t="n">
        <v>160</v>
      </c>
    </row>
    <row r="6" ht="40" customHeight="1">
      <c r="A6" s="16" t="inlineStr">
        <is>
          <t>21.20</t>
        </is>
      </c>
      <c r="B6" s="16" t="inlineStr">
        <is>
          <t>Excavation</t>
        </is>
      </c>
      <c r="C6" s="20" t="inlineStr">
        <is>
          <t>Excavation for foundation in Hard rock by chiselling, wedging, line drilling, etc. including trimming and levelling the bed, removing the excavated material upto a distance of 50 metres beyond the building area, stacking as directed, dewatering and back filling with available earth/murum, watering, ramming etc. complete. (Lift upto 1.5 m.) By Mechanical Means</t>
        </is>
      </c>
      <c r="D6" s="16" t="inlineStr">
        <is>
          <t>m3</t>
        </is>
      </c>
      <c r="E6" s="57" t="n">
        <v>1307</v>
      </c>
      <c r="F6" s="57" t="n">
        <v>889</v>
      </c>
      <c r="G6" s="16" t="n">
        <v>155</v>
      </c>
      <c r="H6" s="16" t="n">
        <v>162</v>
      </c>
    </row>
    <row r="7" ht="30" customHeight="1">
      <c r="A7" s="16" t="inlineStr">
        <is>
          <t>21.22</t>
        </is>
      </c>
      <c r="B7" s="16" t="inlineStr">
        <is>
          <t>Excavation</t>
        </is>
      </c>
      <c r="C7" s="20" t="inlineStr">
        <is>
          <t>Providing preconstructional antitermite treatment as per IS 6313 (Part-II) by treating the bottom surface and sides of excavation at the rate of 5 litres of emulsion concentrate of 1.0 percent chlorpyrifos per square metre etc. complete</t>
        </is>
      </c>
      <c r="D7" s="16" t="inlineStr">
        <is>
          <t>m2</t>
        </is>
      </c>
      <c r="E7" s="57" t="n">
        <v>107</v>
      </c>
      <c r="F7" s="57" t="n">
        <v>6</v>
      </c>
      <c r="G7" s="16" t="n">
        <v>155</v>
      </c>
      <c r="H7" s="16" t="n">
        <v>162</v>
      </c>
    </row>
    <row r="8" ht="20" customHeight="1">
      <c r="A8" s="16" t="inlineStr">
        <is>
          <t>21.33</t>
        </is>
      </c>
      <c r="B8" s="16" t="inlineStr">
        <is>
          <t>Excavation</t>
        </is>
      </c>
      <c r="C8" s="20" t="inlineStr">
        <is>
          <t>Labour charges for removing grass, thorny shrubs, jungli shrub, kubabul and alike grass, making the ground clean by shovel and phavaras etc. complete</t>
        </is>
      </c>
      <c r="D8" s="16" t="inlineStr">
        <is>
          <t>m2</t>
        </is>
      </c>
      <c r="E8" s="57" t="n">
        <v>7</v>
      </c>
      <c r="F8" s="57" t="n">
        <v>7</v>
      </c>
      <c r="G8" s="16" t="n">
        <v>157</v>
      </c>
      <c r="H8" s="16" t="n">
        <v>164</v>
      </c>
    </row>
    <row r="9" ht="20" customHeight="1">
      <c r="A9" s="16" t="inlineStr">
        <is>
          <t>21.36</t>
        </is>
      </c>
      <c r="B9" s="16" t="inlineStr">
        <is>
          <t>Excavation</t>
        </is>
      </c>
      <c r="C9" s="20" t="inlineStr">
        <is>
          <t>Filling in plinth and floors with approved excavated material in 15 cm to 20 cm layers including watering and compacting etc. complete</t>
        </is>
      </c>
      <c r="D9" s="16" t="inlineStr">
        <is>
          <t>m3</t>
        </is>
      </c>
      <c r="E9" s="57" t="n">
        <v>120</v>
      </c>
      <c r="F9" s="57" t="n">
        <v>120</v>
      </c>
      <c r="G9" s="16" t="n">
        <v>157</v>
      </c>
      <c r="H9" s="16" t="n">
        <v>164</v>
      </c>
    </row>
    <row r="10" ht="20" customHeight="1">
      <c r="A10" s="16" t="inlineStr">
        <is>
          <t>21.37</t>
        </is>
      </c>
      <c r="B10" s="16" t="inlineStr">
        <is>
          <t>Excavation</t>
        </is>
      </c>
      <c r="C10" s="20" t="inlineStr">
        <is>
          <t>Filling in plinth and floors with contractor's material / brought from outside and approved by Engineer in charge in layers of 15 cm to 20 cm including watering and compaction etc. complete</t>
        </is>
      </c>
      <c r="D10" s="16" t="inlineStr">
        <is>
          <t>m3</t>
        </is>
      </c>
      <c r="E10" s="57" t="n">
        <v>599</v>
      </c>
      <c r="F10" s="57" t="n">
        <v>135</v>
      </c>
      <c r="G10" s="16" t="n">
        <v>157</v>
      </c>
      <c r="H10" s="16" t="n">
        <v>164</v>
      </c>
    </row>
    <row r="11" ht="20" customHeight="1">
      <c r="A11" s="16" t="inlineStr">
        <is>
          <t>21.38</t>
        </is>
      </c>
      <c r="B11" s="16" t="inlineStr">
        <is>
          <t>Excavation</t>
        </is>
      </c>
      <c r="C11" s="20" t="inlineStr">
        <is>
          <t>Providing dry / trap / granite / quartzite / gneiss rubble stone soling 15 cm to 20 cm thick including hand packing and compacting etc. complete</t>
        </is>
      </c>
      <c r="D11" s="16" t="inlineStr">
        <is>
          <t>m3</t>
        </is>
      </c>
      <c r="E11" s="57" t="n">
        <v>1382</v>
      </c>
      <c r="F11" s="57" t="n">
        <v>432</v>
      </c>
      <c r="G11" s="16" t="n">
        <v>157</v>
      </c>
      <c r="H11" s="16" t="n">
        <v>164</v>
      </c>
    </row>
    <row r="12" ht="20" customHeight="1">
      <c r="A12" s="16" t="inlineStr">
        <is>
          <t>21.39</t>
        </is>
      </c>
      <c r="B12" s="16" t="inlineStr">
        <is>
          <t>Excavation</t>
        </is>
      </c>
      <c r="C12" s="20" t="inlineStr">
        <is>
          <t>Providing and filling in the foundation with sand of approved quality including watering, compacting etc. complete. (To be executed with prior approval of Superintending Engineer)</t>
        </is>
      </c>
      <c r="D12" s="16" t="inlineStr">
        <is>
          <t>m3</t>
        </is>
      </c>
      <c r="E12" s="57" t="n">
        <v>2160</v>
      </c>
      <c r="F12" s="57" t="n">
        <v>120</v>
      </c>
      <c r="G12" s="16" t="n">
        <v>157</v>
      </c>
      <c r="H12" s="16" t="n">
        <v>164</v>
      </c>
    </row>
    <row r="13" ht="20" customHeight="1">
      <c r="A13" s="16" t="inlineStr">
        <is>
          <t>21.40</t>
        </is>
      </c>
      <c r="B13" s="16" t="inlineStr">
        <is>
          <t>Excavation</t>
        </is>
      </c>
      <c r="C13" s="20" t="inlineStr">
        <is>
          <t>Providing soling using 80 mm size trap metal in 15 cm layer including filling voids with crushed sand / grit, ramming, watering etc. complete</t>
        </is>
      </c>
      <c r="D13" s="16" t="inlineStr">
        <is>
          <t>m3</t>
        </is>
      </c>
      <c r="E13" s="57" t="n">
        <v>1454</v>
      </c>
      <c r="F13" s="57" t="n">
        <v>436</v>
      </c>
      <c r="G13" s="16" t="n">
        <v>157</v>
      </c>
      <c r="H13" s="16" t="n">
        <v>164</v>
      </c>
    </row>
    <row r="14" ht="50" customHeight="1">
      <c r="A14" s="16" t="inlineStr">
        <is>
          <t>24.01</t>
        </is>
      </c>
      <c r="B14" s="16" t="inlineStr">
        <is>
          <t>Plain Cement Concrete</t>
        </is>
      </c>
      <c r="C14" s="20" t="inlineStr">
        <is>
          <t>Providing and laying cast in situ / ready mix cement concrete in M-10 of trap / granite / quartzite / gneiss metal for foundation and bedding including bailing out water, steel centering, formwork, laying / pumping, compacting and curing etc. complete.  The SSR's own consumption table gives nominal PCC 1:3:6 and M-10 the SAME 4.40 bags/m3, so 24.01 is the published item for a 1:3:6 levelling bed</t>
        </is>
      </c>
      <c r="D14" s="16" t="inlineStr">
        <is>
          <t>m3</t>
        </is>
      </c>
      <c r="E14" s="57" t="n">
        <v>5830</v>
      </c>
      <c r="F14" s="57" t="n">
        <v>1616</v>
      </c>
      <c r="G14" s="16" t="n">
        <v>175</v>
      </c>
      <c r="H14" s="16" t="n">
        <v>182</v>
      </c>
    </row>
    <row r="15" ht="50" customHeight="1">
      <c r="A15" s="16" t="inlineStr">
        <is>
          <t>24.04</t>
        </is>
      </c>
      <c r="B15" s="16" t="inlineStr">
        <is>
          <t>Plain Cement Concrete</t>
        </is>
      </c>
      <c r="C15" s="20" t="inlineStr">
        <is>
          <t>Providing and laying cast in situ / ready mix cement concrete in M15 of trap / granite / quartzite / gneiss metal for foundation and bedding / steps including steel centering, formwork, laying / pumping, compacting, roughening them if special finish is to be provided, finishing uneven and honeycombed surface and curing etc. complete. With fine aggregate (Crushed sand VSI grade)</t>
        </is>
      </c>
      <c r="D15" s="16" t="inlineStr">
        <is>
          <t>m3</t>
        </is>
      </c>
      <c r="E15" s="57" t="n">
        <v>6359</v>
      </c>
      <c r="F15" s="57" t="n">
        <v>1616</v>
      </c>
      <c r="G15" s="16" t="n">
        <v>175</v>
      </c>
      <c r="H15" s="16" t="n">
        <v>182</v>
      </c>
    </row>
    <row r="16" ht="50" customHeight="1">
      <c r="A16" s="16" t="inlineStr">
        <is>
          <t>25.15</t>
        </is>
      </c>
      <c r="B16" s="16" t="inlineStr">
        <is>
          <t>Reinforced Cement Concrete</t>
        </is>
      </c>
      <c r="C16" s="20" t="inlineStr">
        <is>
          <t>Providing and laying cast in situ / ready mix cement concrete M-30 of trap / granite / quartzite / gneiss metal for R.C.C. work in foundations like raft, strip foundations, grillage and footings of R.C.C. columns and steel stanchions etc. ... including steel centering, formwork, cover blocks, laying / pumping, compaction, finishing ... and curing etc. complete, (EXCLUDING reinforcement and structural steel)</t>
        </is>
      </c>
      <c r="D16" s="16" t="inlineStr">
        <is>
          <t>m3</t>
        </is>
      </c>
      <c r="E16" s="57" t="n">
        <v>7471</v>
      </c>
      <c r="F16" s="57" t="n">
        <v>2110</v>
      </c>
      <c r="G16" s="16" t="n">
        <v>178</v>
      </c>
      <c r="H16" s="16" t="n">
        <v>185</v>
      </c>
    </row>
    <row r="17" ht="13" customHeight="1">
      <c r="A17" s="16" t="inlineStr">
        <is>
          <t>25.17</t>
        </is>
      </c>
      <c r="B17" s="16" t="inlineStr">
        <is>
          <t>Reinforced Cement Concrete</t>
        </is>
      </c>
      <c r="C17" s="20" t="inlineStr">
        <is>
          <t>As 25.15 but grade M-35.</t>
        </is>
      </c>
      <c r="D17" s="16" t="inlineStr">
        <is>
          <t>m3</t>
        </is>
      </c>
      <c r="E17" s="57" t="n">
        <v>7562</v>
      </c>
      <c r="F17" s="57" t="n">
        <v>2110</v>
      </c>
      <c r="G17" s="16" t="n">
        <v>178</v>
      </c>
      <c r="H17" s="16" t="n">
        <v>185</v>
      </c>
    </row>
    <row r="18" ht="30" customHeight="1">
      <c r="A18" s="16" t="inlineStr">
        <is>
          <t>25.35</t>
        </is>
      </c>
      <c r="B18" s="16" t="inlineStr">
        <is>
          <t>Reinforced Cement Concrete</t>
        </is>
      </c>
      <c r="C18" s="20" t="inlineStr">
        <is>
          <t>Providing and laying cast in situ / ready mix cement concrete M-30 ... for R.C.C. COLUMNS as per detailed designs and drawing ... including steel centering, formwork, cover blocks ... (EXCLUDING reinforcement)</t>
        </is>
      </c>
      <c r="D18" s="16" t="inlineStr">
        <is>
          <t>m3</t>
        </is>
      </c>
      <c r="E18" s="57" t="n">
        <v>14150</v>
      </c>
      <c r="F18" s="57" t="n">
        <v>5252</v>
      </c>
      <c r="G18" s="16" t="n">
        <v>180</v>
      </c>
      <c r="H18" s="16" t="n">
        <v>187</v>
      </c>
    </row>
    <row r="19" ht="20" customHeight="1">
      <c r="A19" s="16" t="inlineStr">
        <is>
          <t>25.54</t>
        </is>
      </c>
      <c r="B19" s="16" t="inlineStr">
        <is>
          <t>Reinforced Cement Concrete</t>
        </is>
      </c>
      <c r="C19" s="20" t="inlineStr">
        <is>
          <t>Providing and laying cast in situ / ready mix cement concrete M-30 ... for R.C.C. BEAMS AND LINTELS ... including steel centering, formwork, cover blocks ... (EXCLUDING reinforcement)</t>
        </is>
      </c>
      <c r="D19" s="16" t="inlineStr">
        <is>
          <t>m3</t>
        </is>
      </c>
      <c r="E19" s="57" t="n">
        <v>12635</v>
      </c>
      <c r="F19" s="57" t="n">
        <v>5085</v>
      </c>
      <c r="G19" s="16" t="n">
        <v>181</v>
      </c>
      <c r="H19" s="16" t="n">
        <v>188</v>
      </c>
    </row>
    <row r="20" ht="20" customHeight="1">
      <c r="A20" s="16" t="inlineStr">
        <is>
          <t>25.74</t>
        </is>
      </c>
      <c r="B20" s="16" t="inlineStr">
        <is>
          <t>Reinforced Cement Concrete</t>
        </is>
      </c>
      <c r="C20" s="20" t="inlineStr">
        <is>
          <t>Providing and laying cast in situ / ready mix cement concrete M-30 ... for R.C.C. SLABS AND LANDINGS ... including steel centering, formwork, cover blocks ... (EXCLUDING reinforcement)</t>
        </is>
      </c>
      <c r="D20" s="16" t="inlineStr">
        <is>
          <t>m3</t>
        </is>
      </c>
      <c r="E20" s="57" t="n">
        <v>14299</v>
      </c>
      <c r="F20" s="57" t="n">
        <v>5988</v>
      </c>
      <c r="G20" s="16" t="n">
        <v>183</v>
      </c>
      <c r="H20" s="16" t="n">
        <v>190</v>
      </c>
    </row>
    <row r="21" ht="13" customHeight="1">
      <c r="A21" s="16" t="inlineStr">
        <is>
          <t>25.76</t>
        </is>
      </c>
      <c r="B21" s="16" t="inlineStr">
        <is>
          <t>Reinforced Cement Concrete</t>
        </is>
      </c>
      <c r="C21" s="20" t="inlineStr">
        <is>
          <t>As 25.74 but grade M-35.</t>
        </is>
      </c>
      <c r="D21" s="16" t="inlineStr">
        <is>
          <t>m3</t>
        </is>
      </c>
      <c r="E21" s="57" t="n">
        <v>14391</v>
      </c>
      <c r="F21" s="57" t="n">
        <v>5988</v>
      </c>
      <c r="G21" s="16" t="n">
        <v>183</v>
      </c>
      <c r="H21" s="16" t="n">
        <v>190</v>
      </c>
    </row>
    <row r="22" ht="30" customHeight="1">
      <c r="A22" s="16" t="inlineStr">
        <is>
          <t>26.19</t>
        </is>
      </c>
      <c r="B22" s="16" t="inlineStr">
        <is>
          <t>Reinforced Cement Concrete</t>
        </is>
      </c>
      <c r="C22" s="20" t="inlineStr">
        <is>
          <t>Providing and laying cast in situ / ready mix cement concrete in M-25 ... for R.C.C. PARDI (wall) of required thickness including steel centering, formwork, cover blocks ... (EXCLUDING reinforcement).  M-25 is the HIGHEST grade the SSR publishes for this item</t>
        </is>
      </c>
      <c r="D22" s="16" t="inlineStr">
        <is>
          <t>m3</t>
        </is>
      </c>
      <c r="E22" s="57" t="n">
        <v>15750</v>
      </c>
      <c r="F22" s="57" t="n">
        <v>7338</v>
      </c>
      <c r="G22" s="16" t="n">
        <v>185</v>
      </c>
      <c r="H22" s="16" t="n">
        <v>192</v>
      </c>
    </row>
    <row r="23" ht="30" customHeight="1">
      <c r="A23" s="16" t="inlineStr">
        <is>
          <t>26.26</t>
        </is>
      </c>
      <c r="B23" s="16" t="inlineStr">
        <is>
          <t>Reinforced Cement Concrete</t>
        </is>
      </c>
      <c r="C23" s="20" t="inlineStr">
        <is>
          <t>Providing and laying cast in situ / ready mix cement concrete in M-25 ... for R.C.C. WAIST SLAB AND STEPS OF STAIRCASES ... (EXCLUDING reinforcement).  M-25 is the HIGHEST grade the SSR publishes for this item</t>
        </is>
      </c>
      <c r="D23" s="16" t="inlineStr">
        <is>
          <t>m3</t>
        </is>
      </c>
      <c r="E23" s="57" t="n">
        <v>12244</v>
      </c>
      <c r="F23" s="57" t="n">
        <v>5219</v>
      </c>
      <c r="G23" s="16" t="n">
        <v>186</v>
      </c>
      <c r="H23" s="16" t="n">
        <v>193</v>
      </c>
    </row>
    <row r="24" ht="50" customHeight="1">
      <c r="A24" s="16" t="inlineStr">
        <is>
          <t>26.33</t>
        </is>
      </c>
      <c r="B24" s="16" t="inlineStr">
        <is>
          <t>Reinforced Cement Concrete</t>
        </is>
      </c>
      <c r="C24" s="20" t="inlineStr">
        <is>
          <t>Providing and fixing in position TMT Fe-500 bar reinforcement of various diameters for R.C.C. pile caps, footings, foundations, slabs, beams, columns, canopies, staircase, newels, chajjas, lintels, pardis, copings, fins, arches etc. as per detailed designs, drawings and schedules, including cutting, bending, hooking the bars, binding with wires or tack welding and supporting as required, complete</t>
        </is>
      </c>
      <c r="D24" s="16" t="inlineStr">
        <is>
          <t>t</t>
        </is>
      </c>
      <c r="E24" s="57" t="n">
        <v>89703</v>
      </c>
      <c r="F24" s="57" t="n">
        <v>11762</v>
      </c>
      <c r="G24" s="16" t="n">
        <v>188</v>
      </c>
      <c r="H24" s="16" t="n">
        <v>195</v>
      </c>
    </row>
    <row r="25" ht="30" customHeight="1">
      <c r="A25" s="16" t="inlineStr">
        <is>
          <t>27.05</t>
        </is>
      </c>
      <c r="B25" s="16" t="inlineStr">
        <is>
          <t>Brick Work</t>
        </is>
      </c>
      <c r="C25" s="20" t="inlineStr">
        <is>
          <t>Providing second class burnt brick masonry with conventional / IS type bricks in cement mortar 1:6 in SUPERSTRUCTURE including striking joints, raking out joints, watering and scaffolding etc. complete</t>
        </is>
      </c>
      <c r="D25" s="16" t="inlineStr">
        <is>
          <t>m3</t>
        </is>
      </c>
      <c r="E25" s="57" t="n">
        <v>7994</v>
      </c>
      <c r="F25" s="57" t="n">
        <v>1705</v>
      </c>
      <c r="G25" s="16" t="n">
        <v>197</v>
      </c>
      <c r="H25" s="16" t="n">
        <v>204</v>
      </c>
    </row>
    <row r="26" ht="30" customHeight="1">
      <c r="A26" s="16" t="inlineStr">
        <is>
          <t>27.06</t>
        </is>
      </c>
      <c r="B26" s="16" t="inlineStr">
        <is>
          <t>Brick Work</t>
        </is>
      </c>
      <c r="C26" s="20" t="inlineStr">
        <is>
          <t>Providing second class burnt brick masonry with conventional / IS type bricks in cement mortar 1:4 in HALF BRICK THICK WALL including mild steel longitudinal reinforcement of 2 bars of 6 mm dia / 2 hoop iron strips 25 x 1.6 mm at every third course, scaffolding etc. complete</t>
        </is>
      </c>
      <c r="D26" s="16" t="inlineStr">
        <is>
          <t>m2</t>
        </is>
      </c>
      <c r="E26" s="57" t="n">
        <v>1119</v>
      </c>
      <c r="F26" s="57" t="n">
        <v>203</v>
      </c>
      <c r="G26" s="16" t="n">
        <v>197</v>
      </c>
      <c r="H26" s="16" t="n">
        <v>204</v>
      </c>
    </row>
    <row r="27" ht="40" customHeight="1">
      <c r="A27" s="16" t="inlineStr">
        <is>
          <t>27.08</t>
        </is>
      </c>
      <c r="B27" s="16" t="inlineStr">
        <is>
          <t>Brick Work</t>
        </is>
      </c>
      <c r="C27" s="20" t="inlineStr">
        <is>
          <t>Providing FIRST class burnt brick masonry with conventional / IS type bricks in cement mortar 1:4 including scaffolding, racking out joints, pointing in CM 1:3 and watering etc. IN PILLARS of rectangular or square shape.  NOTE: the SSR publishes NO first-class item for superstructure WALLS — 27.08 and 27.09 are both pillar items</t>
        </is>
      </c>
      <c r="D27" s="16" t="inlineStr">
        <is>
          <t>m3</t>
        </is>
      </c>
      <c r="E27" s="57" t="n">
        <v>9525</v>
      </c>
      <c r="F27" s="57" t="n">
        <v>2704</v>
      </c>
      <c r="G27" s="16" t="n">
        <v>197</v>
      </c>
      <c r="H27" s="16" t="n">
        <v>204</v>
      </c>
    </row>
    <row r="28" ht="20" customHeight="1">
      <c r="A28" s="16" t="inlineStr">
        <is>
          <t>31.09</t>
        </is>
      </c>
      <c r="B28" s="16" t="inlineStr">
        <is>
          <t>Water Proofing</t>
        </is>
      </c>
      <c r="C28" s="20" t="inlineStr">
        <is>
          <t>Providing and applying waterproofing treatment using acrylic polymer modified cement based waterproofing coating with fibre glass mesh etc. complete</t>
        </is>
      </c>
      <c r="D28" s="16" t="inlineStr">
        <is>
          <t>m2</t>
        </is>
      </c>
      <c r="E28" s="57" t="n">
        <v>615</v>
      </c>
      <c r="F28" s="57" t="n">
        <v>316</v>
      </c>
      <c r="G28" s="16" t="n">
        <v>206</v>
      </c>
      <c r="H28" s="16" t="n">
        <v>213</v>
      </c>
    </row>
    <row r="29" ht="30" customHeight="1">
      <c r="A29" s="16" t="inlineStr">
        <is>
          <t>31.12</t>
        </is>
      </c>
      <c r="B29" s="16" t="inlineStr">
        <is>
          <t>Water Proofing</t>
        </is>
      </c>
      <c r="C29" s="20" t="inlineStr">
        <is>
          <t>Providing and fixing 20 to 25 mm thick rough shahabad box type waterproofing FOR BASEMENT OR UNDERGROUND FLOOR on a base of cement concrete 1:3:6 ... with 7 years guarantee ... with ponding test etc. complete (excluding cement concrete 1:3:6 base concrete)</t>
        </is>
      </c>
      <c r="D29" s="16" t="inlineStr">
        <is>
          <t>m2</t>
        </is>
      </c>
      <c r="E29" s="57" t="n">
        <v>1286</v>
      </c>
      <c r="F29" s="57" t="n">
        <v>393</v>
      </c>
      <c r="G29" s="16" t="n">
        <v>206</v>
      </c>
      <c r="H29" s="16" t="n">
        <v>213</v>
      </c>
    </row>
    <row r="30" ht="30" customHeight="1">
      <c r="A30" s="16" t="inlineStr">
        <is>
          <t>31.13</t>
        </is>
      </c>
      <c r="B30" s="16" t="inlineStr">
        <is>
          <t>Water Proofing</t>
        </is>
      </c>
      <c r="C30" s="20" t="inlineStr">
        <is>
          <t>Providing and fixing 20 to 25 mm thick rough shahabad box type waterproofing treatment TO VERTICAL OUTSIDE FACES OF REINFORCED CEMENT CONCRETE WALLS OF BASEMENT or underground floor ... with 7 years guarantee ... with ponding test etc. complete</t>
        </is>
      </c>
      <c r="D30" s="16" t="inlineStr">
        <is>
          <t>m2</t>
        </is>
      </c>
      <c r="E30" s="57" t="n">
        <v>1338</v>
      </c>
      <c r="F30" s="57" t="n">
        <v>509</v>
      </c>
      <c r="G30" s="16" t="n">
        <v>207</v>
      </c>
      <c r="H30" s="16" t="n">
        <v>214</v>
      </c>
    </row>
    <row r="31" ht="30" customHeight="1">
      <c r="A31" s="16" t="inlineStr">
        <is>
          <t>32.04</t>
        </is>
      </c>
      <c r="B31" s="16" t="inlineStr">
        <is>
          <t>Plastering and Pointing</t>
        </is>
      </c>
      <c r="C31" s="20" t="inlineStr">
        <is>
          <t>Providing INTERNAL cement plaster 12 mm thick in single coat in cement mortar 1:4 without neeru finish to concrete or brick surfaces, in all positions, including scaffolding and curing etc. complete</t>
        </is>
      </c>
      <c r="D31" s="16" t="inlineStr">
        <is>
          <t>m2</t>
        </is>
      </c>
      <c r="E31" s="57" t="n">
        <v>278</v>
      </c>
      <c r="F31" s="57" t="n">
        <v>204</v>
      </c>
      <c r="G31" s="16" t="n">
        <v>209</v>
      </c>
      <c r="H31" s="16" t="n">
        <v>216</v>
      </c>
    </row>
    <row r="32" ht="30" customHeight="1">
      <c r="A32" s="16" t="inlineStr">
        <is>
          <t>32.11</t>
        </is>
      </c>
      <c r="B32" s="16" t="inlineStr">
        <is>
          <t>Plastering and Pointing</t>
        </is>
      </c>
      <c r="C32" s="20" t="inlineStr">
        <is>
          <t>Providing SAND FACED plaster EXTERNALLY in cement mortar using approved screened sand, in all positions, including base coat of 15 mm thick in cement mortar 1:4 and a finishing coat, including scaffolding and curing etc. complete</t>
        </is>
      </c>
      <c r="D32" s="16" t="inlineStr">
        <is>
          <t>m2</t>
        </is>
      </c>
      <c r="E32" s="57" t="n">
        <v>639</v>
      </c>
      <c r="F32" s="57" t="n">
        <v>412</v>
      </c>
      <c r="G32" s="16" t="n">
        <v>209</v>
      </c>
      <c r="H32" s="16" t="n">
        <v>216</v>
      </c>
    </row>
    <row r="33" ht="20" customHeight="1">
      <c r="A33" s="16" t="inlineStr">
        <is>
          <t>32.15</t>
        </is>
      </c>
      <c r="B33" s="16" t="inlineStr">
        <is>
          <t>Plastering and Pointing</t>
        </is>
      </c>
      <c r="C33" s="20" t="inlineStr">
        <is>
          <t>Providing NEERU FINISH to plastered surfaces in all positions including scaffolding and curing etc. complete</t>
        </is>
      </c>
      <c r="D33" s="16" t="inlineStr">
        <is>
          <t>m2</t>
        </is>
      </c>
      <c r="E33" s="57" t="n">
        <v>65</v>
      </c>
      <c r="F33" s="57" t="n">
        <v>56</v>
      </c>
      <c r="G33" s="16" t="n">
        <v>210</v>
      </c>
      <c r="H33" s="16" t="n">
        <v>217</v>
      </c>
    </row>
    <row r="34" ht="20" customHeight="1">
      <c r="A34" s="16" t="inlineStr">
        <is>
          <t>33.24</t>
        </is>
      </c>
      <c r="B34" s="16" t="inlineStr">
        <is>
          <t>Paving, Flooring and Dado</t>
        </is>
      </c>
      <c r="C34" s="20" t="inlineStr">
        <is>
          <t>Providing and laying matt finish ceramic tiles 30 cm x 30 cm conforming to IS 15622, on a bed of cement mortar, including cement float, filling joints, curing etc. complete</t>
        </is>
      </c>
      <c r="D34" s="16" t="inlineStr">
        <is>
          <t>m2</t>
        </is>
      </c>
      <c r="E34" s="57" t="n">
        <v>1182</v>
      </c>
      <c r="F34" s="57" t="n">
        <v>355</v>
      </c>
      <c r="G34" s="16" t="n">
        <v>216</v>
      </c>
      <c r="H34" s="16" t="n">
        <v>223</v>
      </c>
    </row>
    <row r="35" ht="30" customHeight="1">
      <c r="A35" s="16" t="inlineStr">
        <is>
          <t>35.25</t>
        </is>
      </c>
      <c r="B35" s="16" t="inlineStr">
        <is>
          <t>Oil Painting</t>
        </is>
      </c>
      <c r="C35" s="20" t="inlineStr">
        <is>
          <t>Providing and applying two coats of EXTERIOR ACRYLIC EMULSION paint conforming to the corresponding IS, of approved make, colour and shade, including scaffolding and preparing the surface etc. complete</t>
        </is>
      </c>
      <c r="D35" s="16" t="inlineStr">
        <is>
          <t>m2</t>
        </is>
      </c>
      <c r="E35" s="57" t="n">
        <v>261</v>
      </c>
      <c r="F35" s="57" t="n">
        <v>172</v>
      </c>
      <c r="G35" s="16" t="n">
        <v>226</v>
      </c>
      <c r="H35" s="16" t="n">
        <v>233</v>
      </c>
    </row>
    <row r="36" ht="20" customHeight="1">
      <c r="A36" s="16" t="inlineStr">
        <is>
          <t>36.12</t>
        </is>
      </c>
      <c r="B36" s="16" t="inlineStr">
        <is>
          <t>Colouring</t>
        </is>
      </c>
      <c r="C36" s="20" t="inlineStr">
        <is>
          <t>Providing and applying PLASTIC EMULSION paint of approved quality, colour and shade to old and new surfaces in TWO coats including scaffolding and preparing the surface etc. complete</t>
        </is>
      </c>
      <c r="D36" s="16" t="inlineStr">
        <is>
          <t>m2</t>
        </is>
      </c>
      <c r="E36" s="57" t="n">
        <v>80</v>
      </c>
      <c r="F36" s="57" t="n">
        <v>24</v>
      </c>
      <c r="G36" s="16" t="n">
        <v>228</v>
      </c>
      <c r="H36" s="16" t="n">
        <v>235</v>
      </c>
    </row>
    <row r="37" ht="30" customHeight="1">
      <c r="A37" s="16" t="inlineStr">
        <is>
          <t>39.10</t>
        </is>
      </c>
      <c r="B37" s="16" t="inlineStr">
        <is>
          <t>Doors and Windows</t>
        </is>
      </c>
      <c r="C37" s="20" t="inlineStr">
        <is>
          <t>Providing and fixing solid core FLUSH DOOR SHUTTER, commercial, single leaf, 32 mm thick, without ventilator, with necessary fixtures and fastenings etc. complete.  SHUTTER ONLY — the frame is a separate item</t>
        </is>
      </c>
      <c r="D37" s="16" t="inlineStr">
        <is>
          <t>m2</t>
        </is>
      </c>
      <c r="E37" s="57" t="n">
        <v>2913</v>
      </c>
      <c r="F37" s="57" t="n">
        <v>851</v>
      </c>
      <c r="G37" s="16" t="n">
        <v>246</v>
      </c>
      <c r="H37" s="16" t="n">
        <v>253</v>
      </c>
    </row>
    <row r="38" ht="30" customHeight="1">
      <c r="A38" s="16" t="inlineStr">
        <is>
          <t>39.50</t>
        </is>
      </c>
      <c r="B38" s="16" t="inlineStr">
        <is>
          <t>Doors and Windows</t>
        </is>
      </c>
      <c r="C38" s="20" t="inlineStr">
        <is>
          <t>Providing and fixing in position ALUMINIUM OPENABLE WINDOW of any size as per detailed drawing, with all necessary aluminium sections, fixtures and fastenings, with 5 mm thick clear float glass etc. complete, with colour anodising (section weight 6.90 kg/m2 considered)</t>
        </is>
      </c>
      <c r="D38" s="16" t="inlineStr">
        <is>
          <t>m2</t>
        </is>
      </c>
      <c r="E38" s="57" t="n">
        <v>5700</v>
      </c>
      <c r="F38" s="57" t="n">
        <v>1809</v>
      </c>
      <c r="G38" s="16" t="n">
        <v>256</v>
      </c>
      <c r="H38" s="16" t="n">
        <v>263</v>
      </c>
    </row>
    <row r="39" ht="20" customHeight="1">
      <c r="A39" s="16" t="inlineStr">
        <is>
          <t>40.06</t>
        </is>
      </c>
      <c r="B39" s="16" t="inlineStr">
        <is>
          <t>Iron Work</t>
        </is>
      </c>
      <c r="C39" s="20" t="inlineStr">
        <is>
          <t>Providing and fixing 40 mm diameter and 1.5 mm thick STAINLESS STEEL HAND RAILING in SS 304 grade including fabrication, fixtures, erection etc. complete</t>
        </is>
      </c>
      <c r="D39" s="16" t="inlineStr">
        <is>
          <t>m</t>
        </is>
      </c>
      <c r="E39" s="57" t="n">
        <v>1220</v>
      </c>
      <c r="F39" s="57" t="n">
        <v>286</v>
      </c>
      <c r="G39" s="16" t="n">
        <v>264</v>
      </c>
      <c r="H39" s="16" t="n">
        <v>271</v>
      </c>
    </row>
    <row r="40" ht="60" customHeight="1">
      <c r="A40" s="16" t="inlineStr">
        <is>
          <t>51.114</t>
        </is>
      </c>
      <c r="B40" s="16" t="inlineStr">
        <is>
          <t>Water Proofing (new items 2019-20)</t>
        </is>
      </c>
      <c r="C40" s="20" t="inlineStr">
        <is>
          <t>Providing and laying Hyperplas standard or equivalent POLYMERIC MULTIPLE MONOLITHIC FIVE LAYER waterproofing flexible, pliable, high tensile strength MEMBRANE (3 kg/m2) with a centre core of 90 micron thick high molecular high density polyethylene film (HMHDPE) protected on both sides with polymeric mix, applied by thermofusing after a primer, 10 cm overlapping, with a 7 year guarantee.  (Prior written permission of the Superintending Engineer is necessary before inclusion in an estimate)</t>
        </is>
      </c>
      <c r="D40" s="16" t="inlineStr">
        <is>
          <t>m2</t>
        </is>
      </c>
      <c r="E40" s="57" t="n">
        <v>678</v>
      </c>
      <c r="F40" s="57" t="n">
        <v>115</v>
      </c>
      <c r="G40" s="16" t="n">
        <v>382</v>
      </c>
      <c r="H40" s="16" t="n">
        <v>389</v>
      </c>
    </row>
    <row r="41" ht="30" customHeight="1">
      <c r="A41" s="16" t="inlineStr">
        <is>
          <t>51.115</t>
        </is>
      </c>
      <c r="B41" s="16" t="inlineStr">
        <is>
          <t>Water Proofing (new items 2019-20)</t>
        </is>
      </c>
      <c r="C41" s="20" t="inlineStr">
        <is>
          <t>Providing and laying mechanical protective layer over waterproofing membrane with cement screed plaster 1:5 after laying chicken mesh over the membrane, 20 mm thick, including the cost of chicken mesh, curing, and a 7 year guarantee</t>
        </is>
      </c>
      <c r="D41" s="16" t="inlineStr">
        <is>
          <t>m2</t>
        </is>
      </c>
      <c r="E41" s="57" t="n">
        <v>390</v>
      </c>
      <c r="F41" s="57" t="n">
        <v>193</v>
      </c>
      <c r="G41" s="16" t="n">
        <v>383</v>
      </c>
      <c r="H41" s="16" t="n">
        <v>390</v>
      </c>
    </row>
  </sheetData>
  <mergeCells count="2">
    <mergeCell ref="A2:H2"/>
    <mergeCell ref="A1:H1"/>
  </mergeCells>
  <pageMargins left="0.3" right="0.3" top="0.4" bottom="0.4" header="0.5" footer="0.5"/>
  <pageSetup orientation="landscape" fitToWidth="1"/>
</worksheet>
</file>

<file path=xl/worksheets/sheet6.xml><?xml version="1.0" encoding="utf-8"?>
<worksheet xmlns="http://schemas.openxmlformats.org/spreadsheetml/2006/main">
  <sheetPr>
    <outlinePr summaryBelow="1" summaryRight="1"/>
    <pageSetUpPr/>
  </sheetPr>
  <dimension ref="A1:F28"/>
  <sheetViews>
    <sheetView showGridLines="0" workbookViewId="0">
      <pane ySplit="3" topLeftCell="A4" activePane="bottomLeft" state="frozen"/>
      <selection pane="bottomLeft" activeCell="A1" sqref="A1"/>
    </sheetView>
  </sheetViews>
  <sheetFormatPr baseColWidth="8" defaultRowHeight="15"/>
  <cols>
    <col width="6" customWidth="1" min="1" max="1"/>
    <col width="12" customWidth="1" min="2" max="2"/>
    <col width="62" customWidth="1" min="3" max="3"/>
    <col width="8" customWidth="1" min="4" max="4"/>
    <col width="12" customWidth="1" min="5" max="5"/>
    <col width="120" customWidth="1" min="6" max="6"/>
  </cols>
  <sheetData>
    <row r="1" ht="26" customHeight="1">
      <c r="A1" s="1" t="inlineStr">
        <is>
          <t>DECLARED EXCLUSIONS — NOT IN ANY TOTAL IN THIS WORKBOOK</t>
        </is>
      </c>
    </row>
    <row r="2" ht="22" customHeight="1">
      <c r="A2" s="2" t="inlineStr">
        <is>
          <t>Each line is here because the project has no specification for it, or the SSR has no item for it, or both.  No rate is invented for any of them.  SSR General Notes Section B: 'The items for which rates are not included in State Schedule of Rates, the rates shall be approved by concerned Superintending Engineer, PWD.'</t>
        </is>
      </c>
    </row>
    <row r="3" ht="32" customHeight="1">
      <c r="A3" s="14" t="inlineStr">
        <is>
          <t>Sec</t>
        </is>
      </c>
      <c r="B3" s="14" t="inlineStr">
        <is>
          <t>Item</t>
        </is>
      </c>
      <c r="C3" s="14" t="inlineStr">
        <is>
          <t>Description</t>
        </is>
      </c>
      <c r="D3" s="14" t="inlineStr">
        <is>
          <t>Unit</t>
        </is>
      </c>
      <c r="E3" s="14" t="inlineStr">
        <is>
          <t>Quantity</t>
        </is>
      </c>
      <c r="F3" s="14" t="inlineStr">
        <is>
          <t>Why it is not priced</t>
        </is>
      </c>
    </row>
    <row r="4" ht="30" customHeight="1">
      <c r="A4" s="36" t="inlineStr">
        <is>
          <t>A</t>
        </is>
      </c>
      <c r="B4" s="36" t="inlineStr">
        <is>
          <t>E-09</t>
        </is>
      </c>
      <c r="C4" s="36" t="inlineStr">
        <is>
          <t>Preconstructional antitermite treatment to the bottom surface and sides of the excavation, IS 6313 Part II</t>
        </is>
      </c>
      <c r="D4" s="36" t="inlineStr">
        <is>
          <t>m2</t>
        </is>
      </c>
      <c r="E4" s="37" t="inlineStr"/>
      <c r="F4" s="40" t="inlineStr">
        <is>
          <t>NOT IN THE WM1 BILL and no quantity exists.  Listed because the owner's own RC1 bill carries a 320 m2 anti-termite line and the SSR has an item for it.  Rate shown for information; NOT in the total</t>
        </is>
      </c>
    </row>
    <row r="5" ht="20" customHeight="1">
      <c r="A5" s="36" t="inlineStr">
        <is>
          <t>E</t>
        </is>
      </c>
      <c r="B5" s="36" t="inlineStr">
        <is>
          <t>B-berm</t>
        </is>
      </c>
      <c r="C5" s="36" t="inlineStr">
        <is>
          <t>Berm forming and grading, 1.5:1 to +0.900 against the headhouse and covered stairwell</t>
        </is>
      </c>
      <c r="D5" s="36" t="inlineStr">
        <is>
          <t>m3</t>
        </is>
      </c>
      <c r="E5" s="37" t="inlineStr"/>
      <c r="F5" s="40" t="inlineStr">
        <is>
          <t>NOT PRICED.  NO QUANTITY EXISTS — no site plan and no ground model is in the project (Drainage open item D3).  A rate is available (SSR 21.36, Rs 120/m3) the moment a quantity does</t>
        </is>
      </c>
    </row>
    <row r="6" ht="20" customHeight="1">
      <c r="A6" s="36" t="inlineStr">
        <is>
          <t>E</t>
        </is>
      </c>
      <c r="B6" s="36" t="inlineStr">
        <is>
          <t>B-camo</t>
        </is>
      </c>
      <c r="C6" s="36" t="inlineStr">
        <is>
          <t>Camouflage and concealment measures beyond the 300 topsoil / turf layer</t>
        </is>
      </c>
      <c r="D6" s="36" t="inlineStr">
        <is>
          <t>item</t>
        </is>
      </c>
      <c r="E6" s="37" t="inlineStr"/>
      <c r="F6" s="40" t="inlineStr">
        <is>
          <t>NOT PRICED and NOT IN THE SSR.  No concealment specification exists in the project.  SSR General Notes Section B: rates not in the schedule are to be approved by the Superintending Engineer</t>
        </is>
      </c>
    </row>
    <row r="7" ht="30" customHeight="1">
      <c r="A7" s="36" t="inlineStr">
        <is>
          <t>F</t>
        </is>
      </c>
      <c r="B7" s="36" t="inlineStr">
        <is>
          <t>W-10</t>
        </is>
      </c>
      <c r="C7" s="36" t="inlineStr">
        <is>
          <t>Waterstops, 2 No. at every construction joint (WP-05), ~6 m centres</t>
        </is>
      </c>
      <c r="D7" s="36" t="inlineStr">
        <is>
          <t>m</t>
        </is>
      </c>
      <c r="E7" s="37" t="n">
        <v>109.76</v>
      </c>
      <c r="F7" s="40" t="inlineStr">
        <is>
          <t>NOT PRICED.  THE SSR HAS NO WATERSTOP ITEM ANYWHERE IN 624 PAGES — searched for waterstop, water stop, water bar and PVC water bar.  Section B: the rate is to be approved by the Superintending Engineer.  The joint positions are also not fixed in the project ([A] in WM1)</t>
        </is>
      </c>
    </row>
    <row r="8" ht="20" customHeight="1">
      <c r="A8" s="36" t="inlineStr">
        <is>
          <t>G</t>
        </is>
      </c>
      <c r="B8" s="36" t="inlineStr">
        <is>
          <t>SC-08</t>
        </is>
      </c>
      <c r="C8" s="36" t="inlineStr">
        <is>
          <t>Sentry post ground floor slab on grade — PROVISIONAL, not designed</t>
        </is>
      </c>
      <c r="D8" s="36" t="inlineStr">
        <is>
          <t>m2</t>
        </is>
      </c>
      <c r="E8" s="37" t="n">
        <v>16.56</v>
      </c>
      <c r="F8" s="40" t="inlineStr">
        <is>
          <t>NOT PRICED.  Thickness and specification are to be confirmed — WM1 tags this [N] and no rate can be chosen without them</t>
        </is>
      </c>
    </row>
    <row r="9" ht="30" customHeight="1">
      <c r="A9" s="36" t="inlineStr">
        <is>
          <t>G</t>
        </is>
      </c>
      <c r="B9" s="36" t="inlineStr">
        <is>
          <t>SC-10</t>
        </is>
      </c>
      <c r="C9" s="36" t="inlineStr">
        <is>
          <t>Sentry post: external spiral stair, 1000 R, 250 dia central pole</t>
        </is>
      </c>
      <c r="D9" s="36" t="inlineStr">
        <is>
          <t>item</t>
        </is>
      </c>
      <c r="E9" s="37" t="n">
        <v>1</v>
      </c>
      <c r="F9" s="40" t="inlineStr">
        <is>
          <t>NOT PRICED.  THE SSR HAS NO SPIRAL STAIR ITEM, and the fabrication detail is not in the project record.  SSR 40.06, SS 304 handrail at Rs 1 220/m, is the only related published item and cannot stand for the stair.  Section B: Superintending Engineer to approve the rate</t>
        </is>
      </c>
    </row>
    <row r="10" ht="30" customHeight="1">
      <c r="A10" s="36" t="inlineStr">
        <is>
          <t>H</t>
        </is>
      </c>
      <c r="B10" s="36" t="inlineStr">
        <is>
          <t>SP-09</t>
        </is>
      </c>
      <c r="C10" s="36" t="inlineStr">
        <is>
          <t>Flooring, ground and first floor, 3.600 x 4.600 each</t>
        </is>
      </c>
      <c r="D10" s="36" t="inlineStr">
        <is>
          <t>m2</t>
        </is>
      </c>
      <c r="E10" s="37" t="n">
        <v>33.12</v>
      </c>
      <c r="F10" s="40" t="inlineStr">
        <is>
          <t>NOT PRICED.  NO FLOORING SPECIFICATION EXISTS IN THE PROJECT (WM1 tags it [N]).  For information only, and NOT in the total: SSR 33.24 matt ceramic 300 x 300 is Rs 1 182 / m2, which would be Rs 39 147</t>
        </is>
      </c>
    </row>
    <row r="11" ht="20" customHeight="1">
      <c r="A11" s="36" t="inlineStr">
        <is>
          <t>H</t>
        </is>
      </c>
      <c r="B11" s="36" t="inlineStr">
        <is>
          <t>SP-12</t>
        </is>
      </c>
      <c r="C11" s="36" t="inlineStr">
        <is>
          <t>Window W1 1200 wide, ground storey, 1 No.</t>
        </is>
      </c>
      <c r="D11" s="36" t="inlineStr">
        <is>
          <t>No.</t>
        </is>
      </c>
      <c r="E11" s="37" t="n">
        <v>1</v>
      </c>
      <c r="F11" s="40" t="inlineStr">
        <is>
          <t>NOT PRICED.  THE HEIGHT IS NOT STATED ANYWHERE IN THE PROJECT ([N] in WM1), so there is no area to price.  SSR 39.50 aluminium openable window is Rs 5 700 / m2 when a height exists</t>
        </is>
      </c>
    </row>
    <row r="12" ht="20" customHeight="1">
      <c r="A12" s="36" t="inlineStr">
        <is>
          <t>H</t>
        </is>
      </c>
      <c r="B12" s="36" t="inlineStr">
        <is>
          <t>SP-13</t>
        </is>
      </c>
      <c r="C12" s="36" t="inlineStr">
        <is>
          <t>Armoured vision panels 1200 wide, 8 No., first storey — SPECIALIST</t>
        </is>
      </c>
      <c r="D12" s="36" t="inlineStr">
        <is>
          <t>No.</t>
        </is>
      </c>
      <c r="E12" s="37" t="n">
        <v>8</v>
      </c>
      <c r="F12" s="40" t="inlineStr">
        <is>
          <t>NOT PRICED and NOT IN THE SSR.  An armoured vision panel is not a schedule item.  Specification is not in the project either</t>
        </is>
      </c>
    </row>
    <row r="13" ht="30" customHeight="1">
      <c r="A13" s="36" t="inlineStr">
        <is>
          <t>I</t>
        </is>
      </c>
      <c r="B13" s="36" t="inlineStr">
        <is>
          <t>EL-01</t>
        </is>
      </c>
      <c r="C13" s="36" t="inlineStr">
        <is>
          <t>Conduits, boxes and concealed work, cast into RC — builder's work</t>
        </is>
      </c>
      <c r="D13" s="36" t="inlineStr">
        <is>
          <t>item</t>
        </is>
      </c>
      <c r="E13" s="37" t="inlineStr"/>
      <c r="F13" s="40" t="inlineStr">
        <is>
          <t>NOT PRICED.  NO ELECTRICAL DESIGN PACKAGE EXISTS — no quantity, and for EL-03 and EL-07 no SSR item either.  The SSR's water-supply and sanitary chapters 41-43 hold no EMP or shielding item of any kind</t>
        </is>
      </c>
    </row>
    <row r="14" ht="30" customHeight="1">
      <c r="A14" s="36" t="inlineStr">
        <is>
          <t>I</t>
        </is>
      </c>
      <c r="B14" s="36" t="inlineStr">
        <is>
          <t>EL-02</t>
        </is>
      </c>
      <c r="C14" s="36" t="inlineStr">
        <is>
          <t>Cabling, distribution board and final circuits</t>
        </is>
      </c>
      <c r="D14" s="36" t="inlineStr">
        <is>
          <t>item</t>
        </is>
      </c>
      <c r="E14" s="37" t="inlineStr"/>
      <c r="F14" s="40" t="inlineStr">
        <is>
          <t>NOT PRICED.  NO ELECTRICAL DESIGN PACKAGE EXISTS — no quantity, and for EL-03 and EL-07 no SSR item either.  The SSR's water-supply and sanitary chapters 41-43 hold no EMP or shielding item of any kind</t>
        </is>
      </c>
    </row>
    <row r="15" ht="30" customHeight="1">
      <c r="A15" s="36" t="inlineStr">
        <is>
          <t>I</t>
        </is>
      </c>
      <c r="B15" s="36" t="inlineStr">
        <is>
          <t>EL-03</t>
        </is>
      </c>
      <c r="C15" s="36" t="inlineStr">
        <is>
          <t>EMP Zone 2 shielded enclosure, bay 3 — SPECIALIST</t>
        </is>
      </c>
      <c r="D15" s="36" t="inlineStr">
        <is>
          <t>item</t>
        </is>
      </c>
      <c r="E15" s="37" t="inlineStr"/>
      <c r="F15" s="40" t="inlineStr">
        <is>
          <t>NOT PRICED.  NO ELECTRICAL DESIGN PACKAGE EXISTS — no quantity, and for EL-03 and EL-07 no SSR item either.  The SSR's water-supply and sanitary chapters 41-43 hold no EMP or shielding item of any kind</t>
        </is>
      </c>
    </row>
    <row r="16" ht="30" customHeight="1">
      <c r="A16" s="36" t="inlineStr">
        <is>
          <t>I</t>
        </is>
      </c>
      <c r="B16" s="36" t="inlineStr">
        <is>
          <t>EL-04</t>
        </is>
      </c>
      <c r="C16" s="36" t="inlineStr">
        <is>
          <t>Earthing installation, 5 ohm target, IS 3043</t>
        </is>
      </c>
      <c r="D16" s="36" t="inlineStr">
        <is>
          <t>item</t>
        </is>
      </c>
      <c r="E16" s="37" t="inlineStr"/>
      <c r="F16" s="40" t="inlineStr">
        <is>
          <t>NOT PRICED.  NO ELECTRICAL DESIGN PACKAGE EXISTS — no quantity, and for EL-03 and EL-07 no SSR item either.  The SSR's water-supply and sanitary chapters 41-43 hold no EMP or shielding item of any kind</t>
        </is>
      </c>
    </row>
    <row r="17" ht="30" customHeight="1">
      <c r="A17" s="36" t="inlineStr">
        <is>
          <t>I</t>
        </is>
      </c>
      <c r="B17" s="36" t="inlineStr">
        <is>
          <t>EL-05</t>
        </is>
      </c>
      <c r="C17" s="36" t="inlineStr">
        <is>
          <t>Lighting, small power and emergency lighting</t>
        </is>
      </c>
      <c r="D17" s="36" t="inlineStr">
        <is>
          <t>item</t>
        </is>
      </c>
      <c r="E17" s="37" t="inlineStr"/>
      <c r="F17" s="40" t="inlineStr">
        <is>
          <t>NOT PRICED.  NO ELECTRICAL DESIGN PACKAGE EXISTS — no quantity, and for EL-03 and EL-07 no SSR item either.  The SSR's water-supply and sanitary chapters 41-43 hold no EMP or shielding item of any kind</t>
        </is>
      </c>
    </row>
    <row r="18" ht="30" customHeight="1">
      <c r="A18" s="36" t="inlineStr">
        <is>
          <t>I</t>
        </is>
      </c>
      <c r="B18" s="36" t="inlineStr">
        <is>
          <t>EL-06</t>
        </is>
      </c>
      <c r="C18" s="36" t="inlineStr">
        <is>
          <t>Generator connection, changeover and protection</t>
        </is>
      </c>
      <c r="D18" s="36" t="inlineStr">
        <is>
          <t>item</t>
        </is>
      </c>
      <c r="E18" s="37" t="inlineStr"/>
      <c r="F18" s="40" t="inlineStr">
        <is>
          <t>NOT PRICED.  NO ELECTRICAL DESIGN PACKAGE EXISTS — no quantity, and for EL-03 and EL-07 no SSR item either.  The SSR's water-supply and sanitary chapters 41-43 hold no EMP or shielding item of any kind</t>
        </is>
      </c>
    </row>
    <row r="19" ht="30" customHeight="1">
      <c r="A19" s="36" t="inlineStr">
        <is>
          <t>I</t>
        </is>
      </c>
      <c r="B19" s="36" t="inlineStr">
        <is>
          <t>EL-07</t>
        </is>
      </c>
      <c r="C19" s="36" t="inlineStr">
        <is>
          <t>EMP protection to every service penetration (power PCI, waveguide-below-cutoff, fibre)</t>
        </is>
      </c>
      <c r="D19" s="36" t="inlineStr">
        <is>
          <t>item</t>
        </is>
      </c>
      <c r="E19" s="37" t="inlineStr"/>
      <c r="F19" s="40" t="inlineStr">
        <is>
          <t>NOT PRICED.  NO ELECTRICAL DESIGN PACKAGE EXISTS — no quantity, and for EL-03 and EL-07 no SSR item either.  The SSR's water-supply and sanitary chapters 41-43 hold no EMP or shielding item of any kind</t>
        </is>
      </c>
    </row>
    <row r="20" ht="40" customHeight="1">
      <c r="A20" s="36" t="inlineStr">
        <is>
          <t>L</t>
        </is>
      </c>
      <c r="B20" s="36" t="inlineStr">
        <is>
          <t>Z-01</t>
        </is>
      </c>
      <c r="C20" s="36" t="inlineStr">
        <is>
          <t>Blast Doors 1 and 2, &gt;= 7 bar, rebound-rated</t>
        </is>
      </c>
      <c r="D20" s="36" t="inlineStr">
        <is>
          <t>set</t>
        </is>
      </c>
      <c r="E20" s="37" t="n">
        <v>2</v>
      </c>
      <c r="F20" s="40" t="inlineStr">
        <is>
          <t>NOT IN THE WM1 BILL AND NOT IN THE SSR.  Recorded here so the estimate is honest about its boundary: the owner's own bill (Cost/USER_BOQ_*, Cost/REVISED_BOQ_*_RC1) prices these from vendor figures.  SSR General Notes Section B: 'The items for which rates are not included in State Schedule of Rates, the rates shall be approved by concerned Superintending Engineer, PWD'</t>
        </is>
      </c>
    </row>
    <row r="21" ht="40" customHeight="1">
      <c r="A21" s="36" t="inlineStr">
        <is>
          <t>L</t>
        </is>
      </c>
      <c r="B21" s="36" t="inlineStr">
        <is>
          <t>Z-02</t>
        </is>
      </c>
      <c r="C21" s="36" t="inlineStr">
        <is>
          <t>Emergency exit hatches, 900 clear, 621 kPa</t>
        </is>
      </c>
      <c r="D21" s="36" t="inlineStr">
        <is>
          <t>set</t>
        </is>
      </c>
      <c r="E21" s="37" t="n">
        <v>2</v>
      </c>
      <c r="F21" s="40" t="inlineStr">
        <is>
          <t>NOT IN THE WM1 BILL AND NOT IN THE SSR.  Recorded here so the estimate is honest about its boundary: the owner's own bill (Cost/USER_BOQ_*, Cost/REVISED_BOQ_*_RC1) prices these from vendor figures.  SSR General Notes Section B: 'The items for which rates are not included in State Schedule of Rates, the rates shall be approved by concerned Superintending Engineer, PWD'</t>
        </is>
      </c>
    </row>
    <row r="22" ht="40" customHeight="1">
      <c r="A22" s="36" t="inlineStr">
        <is>
          <t>L</t>
        </is>
      </c>
      <c r="B22" s="36" t="inlineStr">
        <is>
          <t>Z-03</t>
        </is>
      </c>
      <c r="C22" s="36" t="inlineStr">
        <is>
          <t>Fast-acting blast valves BV-1 to BV-3 (DN100)</t>
        </is>
      </c>
      <c r="D22" s="36" t="inlineStr">
        <is>
          <t>set</t>
        </is>
      </c>
      <c r="E22" s="37" t="n">
        <v>3</v>
      </c>
      <c r="F22" s="40" t="inlineStr">
        <is>
          <t>NOT IN THE WM1 BILL AND NOT IN THE SSR.  Recorded here so the estimate is honest about its boundary: the owner's own bill (Cost/USER_BOQ_*, Cost/REVISED_BOQ_*_RC1) prices these from vendor figures.  SSR General Notes Section B: 'The items for which rates are not included in State Schedule of Rates, the rates shall be approved by concerned Superintending Engineer, PWD'</t>
        </is>
      </c>
    </row>
    <row r="23" ht="40" customHeight="1">
      <c r="A23" s="36" t="inlineStr">
        <is>
          <t>L</t>
        </is>
      </c>
      <c r="B23" s="36" t="inlineStr">
        <is>
          <t>Z-04</t>
        </is>
      </c>
      <c r="C23" s="36" t="inlineStr">
        <is>
          <t>Generator blast valves BV-4 and BV-5 (DN350)</t>
        </is>
      </c>
      <c r="D23" s="36" t="inlineStr">
        <is>
          <t>set</t>
        </is>
      </c>
      <c r="E23" s="37" t="n">
        <v>2</v>
      </c>
      <c r="F23" s="40" t="inlineStr">
        <is>
          <t>NOT IN THE WM1 BILL AND NOT IN THE SSR.  Recorded here so the estimate is honest about its boundary: the owner's own bill (Cost/USER_BOQ_*, Cost/REVISED_BOQ_*_RC1) prices these from vendor figures.  SSR General Notes Section B: 'The items for which rates are not included in State Schedule of Rates, the rates shall be approved by concerned Superintending Engineer, PWD'</t>
        </is>
      </c>
    </row>
    <row r="24" ht="40" customHeight="1">
      <c r="A24" s="36" t="inlineStr">
        <is>
          <t>L</t>
        </is>
      </c>
      <c r="B24" s="36" t="inlineStr">
        <is>
          <t>Z-05</t>
        </is>
      </c>
      <c r="C24" s="36" t="inlineStr">
        <is>
          <t>NBC collective protection trains, 2 x 300 m3/h</t>
        </is>
      </c>
      <c r="D24" s="36" t="inlineStr">
        <is>
          <t>set</t>
        </is>
      </c>
      <c r="E24" s="37" t="n">
        <v>2</v>
      </c>
      <c r="F24" s="40" t="inlineStr">
        <is>
          <t>NOT IN THE WM1 BILL AND NOT IN THE SSR.  Recorded here so the estimate is honest about its boundary: the owner's own bill (Cost/USER_BOQ_*, Cost/REVISED_BOQ_*_RC1) prices these from vendor figures.  SSR General Notes Section B: 'The items for which rates are not included in State Schedule of Rates, the rates shall be approved by concerned Superintending Engineer, PWD'</t>
        </is>
      </c>
    </row>
    <row r="25" ht="40" customHeight="1">
      <c r="A25" s="36" t="inlineStr">
        <is>
          <t>L</t>
        </is>
      </c>
      <c r="B25" s="36" t="inlineStr">
        <is>
          <t>Z-06</t>
        </is>
      </c>
      <c r="C25" s="36" t="inlineStr">
        <is>
          <t>Sealed Zone-2 welded EMP enclosure, 3 x 3 x 2.4 m</t>
        </is>
      </c>
      <c r="D25" s="36" t="inlineStr">
        <is>
          <t>item</t>
        </is>
      </c>
      <c r="E25" s="37" t="n">
        <v>1</v>
      </c>
      <c r="F25" s="40" t="inlineStr">
        <is>
          <t>NOT IN THE WM1 BILL AND NOT IN THE SSR.  Recorded here so the estimate is honest about its boundary: the owner's own bill (Cost/USER_BOQ_*, Cost/REVISED_BOQ_*_RC1) prices these from vendor figures.  SSR General Notes Section B: 'The items for which rates are not included in State Schedule of Rates, the rates shall be approved by concerned Superintending Engineer, PWD'</t>
        </is>
      </c>
    </row>
    <row r="26" ht="40" customHeight="1">
      <c r="A26" s="36" t="inlineStr">
        <is>
          <t>L</t>
        </is>
      </c>
      <c r="B26" s="36" t="inlineStr">
        <is>
          <t>Z-07</t>
        </is>
      </c>
      <c r="C26" s="36" t="inlineStr">
        <is>
          <t>Submersible sump pumps, effluent piping and septic</t>
        </is>
      </c>
      <c r="D26" s="36" t="inlineStr">
        <is>
          <t>set</t>
        </is>
      </c>
      <c r="E26" s="37" t="n">
        <v>1</v>
      </c>
      <c r="F26" s="40" t="inlineStr">
        <is>
          <t>NOT IN THE WM1 BILL AND NOT IN THE SSR.  Recorded here so the estimate is honest about its boundary: the owner's own bill (Cost/USER_BOQ_*, Cost/REVISED_BOQ_*_RC1) prices these from vendor figures.  SSR General Notes Section B: 'The items for which rates are not included in State Schedule of Rates, the rates shall be approved by concerned Superintending Engineer, PWD'</t>
        </is>
      </c>
    </row>
    <row r="27" ht="40" customHeight="1">
      <c r="A27" s="36" t="inlineStr">
        <is>
          <t>L</t>
        </is>
      </c>
      <c r="B27" s="36" t="inlineStr">
        <is>
          <t>Z-08</t>
        </is>
      </c>
      <c r="C27" s="36" t="inlineStr">
        <is>
          <t>Standby generator 15 kVA in bay 8, fuel system, exhaust and acoustic treatment</t>
        </is>
      </c>
      <c r="D27" s="36" t="inlineStr">
        <is>
          <t>set</t>
        </is>
      </c>
      <c r="E27" s="37" t="n">
        <v>1</v>
      </c>
      <c r="F27" s="40" t="inlineStr">
        <is>
          <t>NOT IN THE WM1 BILL AND NOT IN THE SSR.  Recorded here so the estimate is honest about its boundary: the owner's own bill (Cost/USER_BOQ_*, Cost/REVISED_BOQ_*_RC1) prices these from vendor figures.  SSR General Notes Section B: 'The items for which rates are not included in State Schedule of Rates, the rates shall be approved by concerned Superintending Engineer, PWD'</t>
        </is>
      </c>
    </row>
    <row r="28" ht="40" customHeight="1">
      <c r="A28" s="36" t="inlineStr">
        <is>
          <t>L</t>
        </is>
      </c>
      <c r="B28" s="36" t="inlineStr">
        <is>
          <t>Z-09</t>
        </is>
      </c>
      <c r="C28" s="36" t="inlineStr">
        <is>
          <t>Testing, commissioning and envelope leakage test</t>
        </is>
      </c>
      <c r="D28" s="36" t="inlineStr">
        <is>
          <t>item</t>
        </is>
      </c>
      <c r="E28" s="37" t="n">
        <v>1</v>
      </c>
      <c r="F28" s="40" t="inlineStr">
        <is>
          <t>NOT IN THE WM1 BILL AND NOT IN THE SSR.  Recorded here so the estimate is honest about its boundary: the owner's own bill (Cost/USER_BOQ_*, Cost/REVISED_BOQ_*_RC1) prices these from vendor figures.  SSR General Notes Section B: 'The items for which rates are not included in State Schedule of Rates, the rates shall be approved by concerned Superintending Engineer, PWD'</t>
        </is>
      </c>
    </row>
  </sheetData>
  <mergeCells count="2">
    <mergeCell ref="A2:F2"/>
    <mergeCell ref="A1:F1"/>
  </mergeCells>
  <pageMargins left="0.3" right="0.3" top="0.4" bottom="0.4" header="0.5" footer="0.5"/>
  <pageSetup orientation="landscape" fitToWidth="1"/>
</worksheet>
</file>

<file path=xl/worksheets/sheet7.xml><?xml version="1.0" encoding="utf-8"?>
<worksheet xmlns="http://schemas.openxmlformats.org/spreadsheetml/2006/main">
  <sheetPr>
    <outlinePr summaryBelow="1" summaryRight="1"/>
    <pageSetUpPr/>
  </sheetPr>
  <dimension ref="A1:F18"/>
  <sheetViews>
    <sheetView showGridLines="0" workbookViewId="0">
      <pane ySplit="3" topLeftCell="A4" activePane="bottomLeft" state="frozen"/>
      <selection pane="bottomLeft" activeCell="A1" sqref="A1"/>
    </sheetView>
  </sheetViews>
  <sheetFormatPr baseColWidth="8" defaultRowHeight="15"/>
  <cols>
    <col width="6" customWidth="1" min="1" max="1"/>
    <col width="12" customWidth="1" min="2" max="2"/>
    <col width="62" customWidth="1" min="3" max="3"/>
    <col width="8" customWidth="1" min="4" max="4"/>
    <col width="12" customWidth="1" min="5" max="5"/>
    <col width="120" customWidth="1" min="6" max="6"/>
  </cols>
  <sheetData>
    <row r="1" ht="26" customHeight="1">
      <c r="A1" s="1" t="inlineStr">
        <is>
          <t>MEASURED, BUT ALREADY INSIDE ANOTHER RATE</t>
        </is>
      </c>
    </row>
    <row r="2" ht="22" customHeight="1">
      <c r="A2" s="2" t="inlineStr">
        <is>
          <t>The double-count guard.  Every line here is real work with a real quantity that is already paid for somewhere else in the bill.  Pricing any of them again would pay for the same work twice.</t>
        </is>
      </c>
    </row>
    <row r="3" ht="32" customHeight="1">
      <c r="A3" s="14" t="inlineStr">
        <is>
          <t>Sec</t>
        </is>
      </c>
      <c r="B3" s="14" t="inlineStr">
        <is>
          <t>Item</t>
        </is>
      </c>
      <c r="C3" s="14" t="inlineStr">
        <is>
          <t>Description</t>
        </is>
      </c>
      <c r="D3" s="14" t="inlineStr">
        <is>
          <t>Unit</t>
        </is>
      </c>
      <c r="E3" s="14" t="inlineStr">
        <is>
          <t>Quantity</t>
        </is>
      </c>
      <c r="F3" s="14" t="inlineStr">
        <is>
          <t>Where it is already paid</t>
        </is>
      </c>
    </row>
    <row r="4" ht="13" customHeight="1">
      <c r="A4" s="22" t="inlineStr">
        <is>
          <t>A</t>
        </is>
      </c>
      <c r="B4" s="22" t="inlineStr">
        <is>
          <t>E-02</t>
        </is>
      </c>
      <c r="C4" s="22" t="inlineStr">
        <is>
          <t>Bulk excavation, main shelter, 0.000 to (-)6.800, all strata — SUM OF THE SIX DEPTH BANDS BELOW</t>
        </is>
      </c>
      <c r="D4" s="22" t="inlineStr">
        <is>
          <t>m3</t>
        </is>
      </c>
      <c r="E4" s="23" t="n">
        <v>1338.24</v>
      </c>
      <c r="F4" s="26" t="inlineStr">
        <is>
          <t>Measured at E-02.1 to E-02.6.  Plan area 196.80 m2 = 1338.24 / 6.800</t>
        </is>
      </c>
    </row>
    <row r="5" ht="13" customHeight="1">
      <c r="A5" s="22" t="inlineStr">
        <is>
          <t>A</t>
        </is>
      </c>
      <c r="B5" s="22" t="inlineStr">
        <is>
          <t>E-02a</t>
        </is>
      </c>
      <c r="C5" s="22" t="inlineStr">
        <is>
          <t xml:space="preserve">  of which excavation in soil / weathered overburden</t>
        </is>
      </c>
      <c r="D5" s="22" t="inlineStr">
        <is>
          <t>m3</t>
        </is>
      </c>
      <c r="E5" s="23" t="n">
        <v>344.4</v>
      </c>
      <c r="F5" s="26" t="inlineStr">
        <is>
          <t>Memorandum.  Priced at E-02.1 and E-02.2</t>
        </is>
      </c>
    </row>
    <row r="6" ht="13" customHeight="1">
      <c r="A6" s="22" t="inlineStr">
        <is>
          <t>A</t>
        </is>
      </c>
      <c r="B6" s="22" t="inlineStr">
        <is>
          <t>E-02b</t>
        </is>
      </c>
      <c r="C6" s="22" t="inlineStr">
        <is>
          <t xml:space="preserve">  of which excavation in rock (Deccan basalt)</t>
        </is>
      </c>
      <c r="D6" s="22" t="inlineStr">
        <is>
          <t>m3</t>
        </is>
      </c>
      <c r="E6" s="23" t="n">
        <v>993.84</v>
      </c>
      <c r="F6" s="26" t="inlineStr">
        <is>
          <t>Memorandum.  Priced at E-02.3 to E-02.6</t>
        </is>
      </c>
    </row>
    <row r="7" ht="30" customHeight="1">
      <c r="A7" s="22" t="inlineStr">
        <is>
          <t>A</t>
        </is>
      </c>
      <c r="B7" s="22" t="inlineStr">
        <is>
          <t>E-08</t>
        </is>
      </c>
      <c r="C7" s="22" t="inlineStr">
        <is>
          <t>Surplus excavated material — re-use on site as engineered fill / crushed rubble, remainder to spoil</t>
        </is>
      </c>
      <c r="D7" s="22" t="inlineStr">
        <is>
          <t>m3</t>
        </is>
      </c>
      <c r="E7" s="23" t="n">
        <v>1113.937</v>
      </c>
      <c r="F7" s="26" t="inlineStr">
        <is>
          <t>INCLUDED.  Every SSR excavation item already carries removal to 50 m beyond the building area and stacking as directed.  Lead beyond 50 m is payable under SSR Statement C-1 transportation charges and CANNOT be quantified — no site plan and no spoil destination exists (Drainage D3)</t>
        </is>
      </c>
    </row>
    <row r="8" ht="30" customHeight="1">
      <c r="A8" s="22" t="inlineStr">
        <is>
          <t>C</t>
        </is>
      </c>
      <c r="B8" s="22" t="inlineStr">
        <is>
          <t>R-ORD</t>
        </is>
      </c>
      <c r="C8" s="22" t="inlineStr">
        <is>
          <t>Reinforcement ORDER quantity, all works, incl. 5 % wastage</t>
        </is>
      </c>
      <c r="D8" s="22" t="inlineStr">
        <is>
          <t>t</t>
        </is>
      </c>
      <c r="E8" s="23" t="n">
        <v>77.33</v>
      </c>
      <c r="F8" s="26" t="inlineStr">
        <is>
          <t>PROCUREMENT MEMORANDUM, NOT A PAYABLE ITEM.  SSR 26.33 is paid on the weight fixed in position — 73.647 t, the sum of the twelve lines above.  77.33 / 1.05 = 73.648, so the two figures agree exactly.  Wastage is inside the SSR rate and must not be paid a second time</t>
        </is>
      </c>
    </row>
    <row r="9" ht="40" customHeight="1">
      <c r="A9" s="22" t="inlineStr">
        <is>
          <t>D</t>
        </is>
      </c>
      <c r="B9" s="22" t="inlineStr">
        <is>
          <t>F-01</t>
        </is>
      </c>
      <c r="C9" s="22" t="inlineStr">
        <is>
          <t>Formwork, shelter and entry structures, contact area</t>
        </is>
      </c>
      <c r="D9" s="22" t="inlineStr">
        <is>
          <t>m2</t>
        </is>
      </c>
      <c r="E9" s="23" t="n">
        <v>1057.743</v>
      </c>
      <c r="F9" s="26" t="inlineStr">
        <is>
          <t>INCLUDED IN EVERY CONCRETE RATE ABOVE.  SSR items 24.04, 25.15, 25.17, 25.35, 25.54, 25.74, 25.76, 26.19 and 26.26 each read 'including STEEL CENTERING, FORMWORK, cover blocks'.  Paying F-01 separately would pay for the same formwork twice.  The quantity stands as a measured control figure</t>
        </is>
      </c>
    </row>
    <row r="10" ht="20" customHeight="1">
      <c r="A10" s="22" t="inlineStr">
        <is>
          <t>D</t>
        </is>
      </c>
      <c r="B10" s="22" t="inlineStr">
        <is>
          <t>F-02</t>
        </is>
      </c>
      <c r="C10" s="22" t="inlineStr">
        <is>
          <t>Falsework to the pressure slab soffit, 3.200 m height, props to remain 14 days (IS 456 Table 11)</t>
        </is>
      </c>
      <c r="D10" s="22" t="inlineStr">
        <is>
          <t>m2</t>
        </is>
      </c>
      <c r="E10" s="23" t="n">
        <v>104</v>
      </c>
      <c r="F10" s="26" t="inlineStr">
        <is>
          <t>INCLUDED, as F-01.  The 14-day prop period remains a PROGRAMME driver even though it is not a separately payable item</t>
        </is>
      </c>
    </row>
    <row r="11" ht="50" customHeight="1">
      <c r="A11" s="22" t="inlineStr">
        <is>
          <t>E</t>
        </is>
      </c>
      <c r="B11" s="22" t="inlineStr">
        <is>
          <t>B-rubble-cr</t>
        </is>
      </c>
      <c r="C11" s="22" t="inlineStr">
        <is>
          <t xml:space="preserve">  CREDIT if the rubble is won on site and crushed, as the quantity derivation directs</t>
        </is>
      </c>
      <c r="D11" s="22" t="inlineStr">
        <is>
          <t>m3</t>
        </is>
      </c>
      <c r="E11" s="23" t="n">
        <v>51.445</v>
      </c>
      <c r="F11" s="26" t="inlineStr">
        <is>
          <t>MEMORANDUM, NOT DEDUCTED.  994 m3 of basalt comes out of E-02b against 51.4 m3 needed.  The SSR labour component of 21.38 is Rs 432 against the completed Rs 1 382, so winning it on site is worth about 51.445 x (1382 - 432) = Rs 48 873, and removes 51 m3 of import AND 51 m3 of cart-away.  Left in the bill at the full SSR rate because the crushing plant is not in the project record</t>
        </is>
      </c>
    </row>
    <row r="12" ht="20" customHeight="1">
      <c r="A12" s="22" t="inlineStr">
        <is>
          <t>F</t>
        </is>
      </c>
      <c r="B12" s="22" t="inlineStr">
        <is>
          <t>W-05</t>
        </is>
      </c>
      <c r="C12" s="22" t="inlineStr">
        <is>
          <t>WP-02 protection screed 100 over the roof membrane (also cover layer 1)</t>
        </is>
      </c>
      <c r="D12" s="22" t="inlineStr">
        <is>
          <t>m2</t>
        </is>
      </c>
      <c r="E12" s="23" t="n">
        <v>102.889</v>
      </c>
      <c r="F12" s="26" t="inlineStr">
        <is>
          <t>THE SAME WORK AS B-screed, measured in m2 instead of m3.  Paid once, at B-screed.  102.889 x 0.100 = 10.289 m3</t>
        </is>
      </c>
    </row>
    <row r="13" ht="30" customHeight="1">
      <c r="A13" s="22" t="inlineStr">
        <is>
          <t>H</t>
        </is>
      </c>
      <c r="B13" s="22" t="inlineStr">
        <is>
          <t>SP-03</t>
        </is>
      </c>
      <c r="C13" s="22" t="inlineStr">
        <is>
          <t>Modular burnt clay bricks class 10 to IS 1077, delivered</t>
        </is>
      </c>
      <c r="D13" s="22" t="inlineStr">
        <is>
          <t>No.</t>
        </is>
      </c>
      <c r="E13" s="23" t="n">
        <v>6402.952</v>
      </c>
      <c r="F13" s="26" t="inlineStr">
        <is>
          <t>INCLUDED in SP-01 / SP-02 — SSR 27.05 is a composite supply-and-lay rate.  SSR general material rate for II class brick is Rs 8.50 each, so this quantity carries about Rs 54 425 of material INSIDE the masonry rate</t>
        </is>
      </c>
    </row>
    <row r="14" ht="13" customHeight="1">
      <c r="A14" s="22" t="inlineStr">
        <is>
          <t>H</t>
        </is>
      </c>
      <c r="B14" s="22" t="inlineStr">
        <is>
          <t>SP-04</t>
        </is>
      </c>
      <c r="C14" s="22" t="inlineStr">
        <is>
          <t>Cement for masonry mortar CM 1:6</t>
        </is>
      </c>
      <c r="D14" s="22" t="inlineStr">
        <is>
          <t>bag</t>
        </is>
      </c>
      <c r="E14" s="23" t="n">
        <v>14.458</v>
      </c>
      <c r="F14" s="26" t="inlineStr">
        <is>
          <t>INCLUDED in SP-01 / SP-02.  SSR general rate Rs 6 000 / M.T. = Rs 300 / bag</t>
        </is>
      </c>
    </row>
    <row r="15" ht="13" customHeight="1">
      <c r="A15" s="22" t="inlineStr">
        <is>
          <t>H</t>
        </is>
      </c>
      <c r="B15" s="22" t="inlineStr">
        <is>
          <t>SP-05</t>
        </is>
      </c>
      <c r="C15" s="22" t="inlineStr">
        <is>
          <t>Sand for masonry mortar, to IS 2116</t>
        </is>
      </c>
      <c r="D15" s="22" t="inlineStr">
        <is>
          <t>m3</t>
        </is>
      </c>
      <c r="E15" s="23" t="n">
        <v>3.012</v>
      </c>
      <c r="F15" s="26" t="inlineStr">
        <is>
          <t>INCLUDED in SP-01 / SP-02.  SSR general rate, crushed sand, Rs 1 200 / m3</t>
        </is>
      </c>
    </row>
    <row r="16" ht="30" customHeight="1">
      <c r="A16" s="22" t="inlineStr">
        <is>
          <t>J</t>
        </is>
      </c>
      <c r="B16" s="22" t="inlineStr">
        <is>
          <t>M-01</t>
        </is>
      </c>
      <c r="C16" s="22" t="inlineStr">
        <is>
          <t>Cement, OPC 43 grade to IS 269, all works</t>
        </is>
      </c>
      <c r="D16" s="22" t="inlineStr">
        <is>
          <t>t</t>
        </is>
      </c>
      <c r="E16" s="23" t="n">
        <v>194.169</v>
      </c>
      <c r="F16" s="26" t="inlineStr">
        <is>
          <t>PROCUREMENT MEMORANDUM, NOT A PAYABLE ITEM — cement is inside every composite rate above.  At the SSR general rate of Rs 6 000 / M.T. this volume carries Rs 1 165 014 of cement INSIDE those rates</t>
        </is>
      </c>
    </row>
    <row r="17" ht="20" customHeight="1">
      <c r="A17" s="22" t="inlineStr">
        <is>
          <t>J</t>
        </is>
      </c>
      <c r="B17" s="22" t="inlineStr">
        <is>
          <t>M-02</t>
        </is>
      </c>
      <c r="C17" s="22" t="inlineStr">
        <is>
          <t>Coarse and fine aggregate to IS 383, all concrete</t>
        </is>
      </c>
      <c r="D17" s="22" t="inlineStr">
        <is>
          <t>t</t>
        </is>
      </c>
      <c r="E17" s="23" t="n">
        <v>828.6609999999999</v>
      </c>
      <c r="F17" s="26" t="inlineStr">
        <is>
          <t>PROCUREMENT MEMORANDUM.  Inside the composite rates.  SSR general rates: 20 mm aggregate Rs 1 050 / m3, crushed sand Rs 1 200 / m3</t>
        </is>
      </c>
    </row>
    <row r="18" ht="20" customHeight="1">
      <c r="A18" s="22" t="inlineStr">
        <is>
          <t>J</t>
        </is>
      </c>
      <c r="B18" s="22" t="inlineStr">
        <is>
          <t>M-03</t>
        </is>
      </c>
      <c r="C18" s="22" t="inlineStr">
        <is>
          <t>Water for concrete, mortar and curing — site supply</t>
        </is>
      </c>
      <c r="D18" s="22" t="inlineStr">
        <is>
          <t>item</t>
        </is>
      </c>
      <c r="E18" s="23" t="inlineStr"/>
      <c r="F18" s="26" t="inlineStr">
        <is>
          <t>PROCUREMENT MEMORANDUM.  Curing and watering are inside every SSR item.  SSR general rate for water is Rs 213 / 1 000 litre</t>
        </is>
      </c>
    </row>
  </sheetData>
  <mergeCells count="2">
    <mergeCell ref="A2:F2"/>
    <mergeCell ref="A1:F1"/>
  </mergeCells>
  <pageMargins left="0.3" right="0.3" top="0.4" bottom="0.4" header="0.5" footer="0.5"/>
  <pageSetup orientation="landscape" fitToWidth="1"/>
</worksheet>
</file>

<file path=xl/worksheets/sheet8.xml><?xml version="1.0" encoding="utf-8"?>
<worksheet xmlns="http://schemas.openxmlformats.org/spreadsheetml/2006/main">
  <sheetPr>
    <outlinePr summaryBelow="1" summaryRight="1"/>
    <pageSetUpPr/>
  </sheetPr>
  <dimension ref="A1:L42"/>
  <sheetViews>
    <sheetView showGridLines="0" workbookViewId="0">
      <pane ySplit="3" topLeftCell="A4" activePane="bottomLeft" state="frozen"/>
      <selection pane="bottomLeft" activeCell="A1" sqref="A1"/>
    </sheetView>
  </sheetViews>
  <sheetFormatPr baseColWidth="8" defaultRowHeight="15"/>
  <cols>
    <col width="6" customWidth="1" min="1" max="1"/>
    <col width="48" customWidth="1" min="2" max="2"/>
    <col width="7" customWidth="1" min="3" max="3"/>
    <col width="11" customWidth="1" min="4" max="4"/>
    <col width="12" customWidth="1" min="5" max="5"/>
    <col width="15" customWidth="1" min="6" max="6"/>
    <col width="20" customWidth="1" min="7" max="7"/>
    <col width="12" customWidth="1" min="8" max="8"/>
    <col width="15" customWidth="1" min="9" max="9"/>
    <col width="15" customWidth="1" min="10" max="10"/>
    <col width="9" customWidth="1" min="11" max="11"/>
    <col width="84" customWidth="1" min="12" max="12"/>
  </cols>
  <sheetData>
    <row r="1" ht="26" customHeight="1">
      <c r="A1" s="1" t="inlineStr">
        <is>
          <t>THE OWNER'S OWN PRICED BILL, RE-RATED AT SSR 2022-23</t>
        </is>
      </c>
    </row>
    <row r="2" ht="22" customHeight="1">
      <c r="A2" s="2" t="inlineStr">
        <is>
          <t>The owner's quantities and the owner's rates are reproduced exactly as supplied and nothing in their bill is edited.  Master H.15 records of that bill: 'No cost was re-estimated, no rate was checked against a market or a schedule of rates.'  This sheet is that check.</t>
        </is>
      </c>
    </row>
    <row r="3" ht="32" customHeight="1">
      <c r="A3" s="14" t="inlineStr">
        <is>
          <t>Part</t>
        </is>
      </c>
      <c r="B3" s="14" t="inlineStr">
        <is>
          <t>Owner's bill description (RC1)</t>
        </is>
      </c>
      <c r="C3" s="14" t="inlineStr">
        <is>
          <t>Unit</t>
        </is>
      </c>
      <c r="D3" s="14" t="inlineStr">
        <is>
          <t>Quantity</t>
        </is>
      </c>
      <c r="E3" s="14" t="inlineStr">
        <is>
          <t>Owner rate</t>
        </is>
      </c>
      <c r="F3" s="14" t="inlineStr">
        <is>
          <t>Owner amount</t>
        </is>
      </c>
      <c r="G3" s="14" t="inlineStr">
        <is>
          <t>SSR item</t>
        </is>
      </c>
      <c r="H3" s="14" t="inlineStr">
        <is>
          <t>SSR rate</t>
        </is>
      </c>
      <c r="I3" s="14" t="inlineStr">
        <is>
          <t>SSR amount</t>
        </is>
      </c>
      <c r="J3" s="14" t="inlineStr">
        <is>
          <t>Difference</t>
        </is>
      </c>
      <c r="K3" s="14" t="inlineStr">
        <is>
          <t>Diff %</t>
        </is>
      </c>
      <c r="L3" s="14" t="inlineStr">
        <is>
          <t>Note</t>
        </is>
      </c>
    </row>
    <row r="4" ht="13" customHeight="1">
      <c r="A4" s="15" t="inlineStr">
        <is>
          <t>I</t>
        </is>
      </c>
      <c r="B4" s="16" t="inlineStr">
        <is>
          <t>Confirmatory soil and rock core boreholes</t>
        </is>
      </c>
      <c r="C4" s="16" t="inlineStr">
        <is>
          <t>No</t>
        </is>
      </c>
      <c r="D4" s="17" t="n">
        <v>4</v>
      </c>
      <c r="E4" s="18" t="n">
        <v>50000</v>
      </c>
      <c r="F4" s="27">
        <f>D4*E4</f>
        <v/>
      </c>
      <c r="G4" s="16" t="inlineStr">
        <is>
          <t>—</t>
        </is>
      </c>
      <c r="H4" s="58" t="n"/>
      <c r="I4" s="58" t="n"/>
      <c r="J4" s="58" t="n"/>
      <c r="K4" s="58" t="n"/>
      <c r="L4" s="20" t="inlineStr">
        <is>
          <t>Not comparable.  The SSR's site-investigation items are road trial pits, not cored boreholes</t>
        </is>
      </c>
    </row>
    <row r="5" ht="13" customHeight="1">
      <c r="A5" s="15" t="inlineStr">
        <is>
          <t>I</t>
        </is>
      </c>
      <c r="B5" s="16" t="inlineStr">
        <is>
          <t>Site clearance, grubbing and setting out</t>
        </is>
      </c>
      <c r="C5" s="16" t="inlineStr">
        <is>
          <t>m2</t>
        </is>
      </c>
      <c r="D5" s="17" t="n">
        <v>1800</v>
      </c>
      <c r="E5" s="18" t="n">
        <v>44.8</v>
      </c>
      <c r="F5" s="27">
        <f>D5*E5</f>
        <v/>
      </c>
      <c r="G5" s="16" t="inlineStr">
        <is>
          <t>21.33</t>
        </is>
      </c>
      <c r="H5" s="27" t="n">
        <v>7</v>
      </c>
      <c r="I5" s="19">
        <f>D5*H5</f>
        <v/>
      </c>
      <c r="J5" s="19">
        <f>I5-F5</f>
        <v/>
      </c>
      <c r="K5" s="59">
        <f>IFERROR(J5/F5,"")</f>
        <v/>
      </c>
      <c r="L5" s="20" t="inlineStr">
        <is>
          <t>SSR clearance is a labour-only item at Rs 7/m2</t>
        </is>
      </c>
    </row>
    <row r="6" ht="20" customHeight="1">
      <c r="A6" s="15" t="inlineStr">
        <is>
          <t>I</t>
        </is>
      </c>
      <c r="B6" s="16" t="inlineStr">
        <is>
          <t>Mass excavation in basalt / murum (~6.8 m)</t>
        </is>
      </c>
      <c r="C6" s="16" t="inlineStr">
        <is>
          <t>m3</t>
        </is>
      </c>
      <c r="D6" s="17" t="n">
        <v>1539</v>
      </c>
      <c r="E6" s="18" t="n">
        <v>850</v>
      </c>
      <c r="F6" s="27">
        <f>D6*E6</f>
        <v/>
      </c>
      <c r="G6" s="16" t="inlineStr">
        <is>
          <t>21.20</t>
        </is>
      </c>
      <c r="H6" s="27" t="n">
        <v>1307</v>
      </c>
      <c r="I6" s="19">
        <f>D6*H6</f>
        <v/>
      </c>
      <c r="J6" s="19">
        <f>I6-F6</f>
        <v/>
      </c>
      <c r="K6" s="59">
        <f>IFERROR(J6/F6,"")</f>
        <v/>
      </c>
      <c r="L6" s="20" t="inlineStr">
        <is>
          <t>SSR 21.20, hard rock by chiselling, BEFORE the Section B depth increases of +20 % and +30 % that a 6.8 m excavation attracts.  The owner's single blended Rs 850 covers both murum and basalt</t>
        </is>
      </c>
    </row>
    <row r="7" ht="13" customHeight="1">
      <c r="A7" s="15" t="inlineStr">
        <is>
          <t>I</t>
        </is>
      </c>
      <c r="B7" s="16" t="inlineStr">
        <is>
          <t>Surface dressing and anti-termite treatment</t>
        </is>
      </c>
      <c r="C7" s="16" t="inlineStr">
        <is>
          <t>m2</t>
        </is>
      </c>
      <c r="D7" s="17" t="n">
        <v>320</v>
      </c>
      <c r="E7" s="18" t="n">
        <v>180</v>
      </c>
      <c r="F7" s="27">
        <f>D7*E7</f>
        <v/>
      </c>
      <c r="G7" s="16" t="inlineStr">
        <is>
          <t>21.22</t>
        </is>
      </c>
      <c r="H7" s="27" t="n">
        <v>107</v>
      </c>
      <c r="I7" s="19">
        <f>D7*H7</f>
        <v/>
      </c>
      <c r="J7" s="19">
        <f>I7-F7</f>
        <v/>
      </c>
      <c r="K7" s="59">
        <f>IFERROR(J7/F7,"")</f>
        <v/>
      </c>
      <c r="L7" s="20" t="inlineStr">
        <is>
          <t>IS 6313 Part II, bottom and sides of excavation</t>
        </is>
      </c>
    </row>
    <row r="8" ht="13" customHeight="1">
      <c r="A8" s="15" t="inlineStr">
        <is>
          <t>II</t>
        </is>
      </c>
      <c r="B8" s="16" t="inlineStr">
        <is>
          <t>Formwork for mat raft and bay 5 sump</t>
        </is>
      </c>
      <c r="C8" s="16" t="inlineStr">
        <is>
          <t>m2</t>
        </is>
      </c>
      <c r="D8" s="17" t="n">
        <v>125</v>
      </c>
      <c r="E8" s="18" t="n">
        <v>410</v>
      </c>
      <c r="F8" s="27">
        <f>D8*E8</f>
        <v/>
      </c>
      <c r="G8" s="16" t="inlineStr">
        <is>
          <t>—</t>
        </is>
      </c>
      <c r="H8" s="58" t="n"/>
      <c r="I8" s="58" t="n"/>
      <c r="J8" s="58" t="n"/>
      <c r="K8" s="58" t="n"/>
      <c r="L8" s="20" t="inlineStr">
        <is>
          <t>INCLUDED IN THE SSR CONCRETE RATE</t>
        </is>
      </c>
    </row>
    <row r="9" ht="20" customHeight="1">
      <c r="A9" s="15" t="inlineStr">
        <is>
          <t>II</t>
        </is>
      </c>
      <c r="B9" s="16" t="inlineStr">
        <is>
          <t>PCC 1:3:6 levelling bed (100 mm)</t>
        </is>
      </c>
      <c r="C9" s="16" t="inlineStr">
        <is>
          <t>m3</t>
        </is>
      </c>
      <c r="D9" s="17" t="n">
        <v>17.17</v>
      </c>
      <c r="E9" s="18" t="n">
        <v>5500</v>
      </c>
      <c r="F9" s="27">
        <f>D9*E9</f>
        <v/>
      </c>
      <c r="G9" s="16" t="inlineStr">
        <is>
          <t>24.01</t>
        </is>
      </c>
      <c r="H9" s="27" t="n">
        <v>5830</v>
      </c>
      <c r="I9" s="19">
        <f>D9*H9</f>
        <v/>
      </c>
      <c r="J9" s="19">
        <f>I9-F9</f>
        <v/>
      </c>
      <c r="K9" s="59">
        <f>IFERROR(J9/F9,"")</f>
        <v/>
      </c>
      <c r="L9" s="20" t="inlineStr">
        <is>
          <t>The SSR's consumption table gives 1:3:6 and M-10 the same 4.40 bags/m3.  The project's own bill (C-09 / C-10) specifies M15, which is 24.04 at Rs 6 359 — the two bills differ on the blinding grade</t>
        </is>
      </c>
    </row>
    <row r="10" ht="13" customHeight="1">
      <c r="A10" s="15" t="inlineStr">
        <is>
          <t>II</t>
        </is>
      </c>
      <c r="B10" s="16" t="inlineStr">
        <is>
          <t>Monolithic mat raft casting (M35)</t>
        </is>
      </c>
      <c r="C10" s="16" t="inlineStr">
        <is>
          <t>m3</t>
        </is>
      </c>
      <c r="D10" s="17" t="n">
        <v>81.84</v>
      </c>
      <c r="E10" s="18" t="n">
        <v>8640</v>
      </c>
      <c r="F10" s="27">
        <f>D10*E10</f>
        <v/>
      </c>
      <c r="G10" s="16" t="inlineStr">
        <is>
          <t>25.17</t>
        </is>
      </c>
      <c r="H10" s="27" t="n">
        <v>7562</v>
      </c>
      <c r="I10" s="19">
        <f>D10*H10</f>
        <v/>
      </c>
      <c r="J10" s="19">
        <f>I10-F10</f>
        <v/>
      </c>
      <c r="K10" s="59">
        <f>IFERROR(J10/F10,"")</f>
        <v/>
      </c>
      <c r="L10" s="20" t="inlineStr">
        <is>
          <t>Raft foundations, M-35.  Formwork inside both rates</t>
        </is>
      </c>
    </row>
    <row r="11" ht="13" customHeight="1">
      <c r="A11" s="15" t="inlineStr">
        <is>
          <t>II</t>
        </is>
      </c>
      <c r="B11" s="16" t="inlineStr">
        <is>
          <t>Pre-applied waterproofing membrane + screed</t>
        </is>
      </c>
      <c r="C11" s="16" t="inlineStr">
        <is>
          <t>m2</t>
        </is>
      </c>
      <c r="D11" s="17" t="n">
        <v>280</v>
      </c>
      <c r="E11" s="18" t="n">
        <v>950</v>
      </c>
      <c r="F11" s="27">
        <f>D11*E11</f>
        <v/>
      </c>
      <c r="G11" s="16" t="inlineStr">
        <is>
          <t>51.114 + 51.115</t>
        </is>
      </c>
      <c r="H11" s="27" t="n">
        <v>1068</v>
      </c>
      <c r="I11" s="19">
        <f>D11*H11</f>
        <v/>
      </c>
      <c r="J11" s="19">
        <f>I11-F11</f>
        <v/>
      </c>
      <c r="K11" s="59">
        <f>IFERROR(J11/F11,"")</f>
        <v/>
      </c>
      <c r="L11" s="20" t="inlineStr">
        <is>
          <t>Polymeric HMHDPE membrane plus the SSR's 20 mm protective screed</t>
        </is>
      </c>
    </row>
    <row r="12" ht="13" customHeight="1">
      <c r="A12" s="15" t="inlineStr">
        <is>
          <t>II</t>
        </is>
      </c>
      <c r="B12" s="16" t="inlineStr">
        <is>
          <t>Dual swelling hydrophilic kicker waterstops</t>
        </is>
      </c>
      <c r="C12" s="16" t="inlineStr">
        <is>
          <t>m</t>
        </is>
      </c>
      <c r="D12" s="17" t="n">
        <v>68</v>
      </c>
      <c r="E12" s="18" t="n">
        <v>650</v>
      </c>
      <c r="F12" s="27">
        <f>D12*E12</f>
        <v/>
      </c>
      <c r="G12" s="16" t="inlineStr">
        <is>
          <t>—</t>
        </is>
      </c>
      <c r="H12" s="58" t="n"/>
      <c r="I12" s="58" t="n"/>
      <c r="J12" s="58" t="n"/>
      <c r="K12" s="58" t="n"/>
      <c r="L12" s="20" t="inlineStr">
        <is>
          <t>NOT IN THE SSR — no waterstop item exists in the schedule</t>
        </is>
      </c>
    </row>
    <row r="13" ht="13" customHeight="1">
      <c r="A13" s="15" t="inlineStr">
        <is>
          <t>III</t>
        </is>
      </c>
      <c r="B13" s="16" t="inlineStr">
        <is>
          <t>Formwork for 600 mm shear walls (3.2 m ht)</t>
        </is>
      </c>
      <c r="C13" s="16" t="inlineStr">
        <is>
          <t>m2</t>
        </is>
      </c>
      <c r="D13" s="17" t="n">
        <v>480</v>
      </c>
      <c r="E13" s="18" t="n">
        <v>580</v>
      </c>
      <c r="F13" s="27">
        <f>D13*E13</f>
        <v/>
      </c>
      <c r="G13" s="16" t="inlineStr">
        <is>
          <t>—</t>
        </is>
      </c>
      <c r="H13" s="58" t="n"/>
      <c r="I13" s="58" t="n"/>
      <c r="J13" s="58" t="n"/>
      <c r="K13" s="58" t="n"/>
      <c r="L13" s="20" t="inlineStr">
        <is>
          <t>INCLUDED IN THE SSR CONCRETE RATE</t>
        </is>
      </c>
    </row>
    <row r="14" ht="20" customHeight="1">
      <c r="A14" s="15" t="inlineStr">
        <is>
          <t>III</t>
        </is>
      </c>
      <c r="B14" s="16" t="inlineStr">
        <is>
          <t>Casting 600 mm perimeter and shear walls (M35)</t>
        </is>
      </c>
      <c r="C14" s="16" t="inlineStr">
        <is>
          <t>m3</t>
        </is>
      </c>
      <c r="D14" s="17" t="n">
        <v>132.61</v>
      </c>
      <c r="E14" s="18" t="n">
        <v>8640</v>
      </c>
      <c r="F14" s="27">
        <f>D14*E14</f>
        <v/>
      </c>
      <c r="G14" s="16" t="inlineStr">
        <is>
          <t>26.19 der.</t>
        </is>
      </c>
      <c r="H14" s="27" t="n">
        <v>16024.97</v>
      </c>
      <c r="I14" s="19">
        <f>D14*H14</f>
        <v/>
      </c>
      <c r="J14" s="19">
        <f>I14-F14</f>
        <v/>
      </c>
      <c r="K14" s="59">
        <f>IFERROR(J14/F14,"")</f>
        <v/>
      </c>
      <c r="L14" s="20" t="inlineStr">
        <is>
          <t>R.C.C. pardi (wall) uplifted M25 -&gt; M35.  THE LARGEST SINGLE RATE GAP IN THE BILL: wall formwork is what the SSR item is dear for</t>
        </is>
      </c>
    </row>
    <row r="15" ht="13" customHeight="1">
      <c r="A15" s="15" t="inlineStr">
        <is>
          <t>III</t>
        </is>
      </c>
      <c r="B15" s="16" t="inlineStr">
        <is>
          <t>Formwork and staging for 900 mm pressure slab</t>
        </is>
      </c>
      <c r="C15" s="16" t="inlineStr">
        <is>
          <t>m2</t>
        </is>
      </c>
      <c r="D15" s="17" t="n">
        <v>145</v>
      </c>
      <c r="E15" s="18" t="n">
        <v>650</v>
      </c>
      <c r="F15" s="27">
        <f>D15*E15</f>
        <v/>
      </c>
      <c r="G15" s="16" t="inlineStr">
        <is>
          <t>—</t>
        </is>
      </c>
      <c r="H15" s="58" t="n"/>
      <c r="I15" s="58" t="n"/>
      <c r="J15" s="58" t="n"/>
      <c r="K15" s="58" t="n"/>
      <c r="L15" s="20" t="inlineStr">
        <is>
          <t>INCLUDED IN THE SSR CONCRETE RATE</t>
        </is>
      </c>
    </row>
    <row r="16" ht="13" customHeight="1">
      <c r="A16" s="15" t="inlineStr">
        <is>
          <t>III</t>
        </is>
      </c>
      <c r="B16" s="16" t="inlineStr">
        <is>
          <t>Casting 900 mm pressure roof slab (M35)</t>
        </is>
      </c>
      <c r="C16" s="16" t="inlineStr">
        <is>
          <t>m3</t>
        </is>
      </c>
      <c r="D16" s="17" t="n">
        <v>114.72</v>
      </c>
      <c r="E16" s="18" t="n">
        <v>8640</v>
      </c>
      <c r="F16" s="27">
        <f>D16*E16</f>
        <v/>
      </c>
      <c r="G16" s="16" t="inlineStr">
        <is>
          <t>25.76</t>
        </is>
      </c>
      <c r="H16" s="27" t="n">
        <v>14391</v>
      </c>
      <c r="I16" s="19">
        <f>D16*H16</f>
        <v/>
      </c>
      <c r="J16" s="19">
        <f>I16-F16</f>
        <v/>
      </c>
      <c r="K16" s="59">
        <f>IFERROR(J16/F16,"")</f>
        <v/>
      </c>
      <c r="L16" s="20" t="inlineStr">
        <is>
          <t>R.C.C. slabs and landings, M-35</t>
        </is>
      </c>
    </row>
    <row r="17" ht="13" customHeight="1">
      <c r="A17" s="15" t="inlineStr">
        <is>
          <t>III</t>
        </is>
      </c>
      <c r="B17" s="16" t="inlineStr">
        <is>
          <t>Internal dog-leg staircase RCC</t>
        </is>
      </c>
      <c r="C17" s="16" t="inlineStr">
        <is>
          <t>m3</t>
        </is>
      </c>
      <c r="D17" s="17" t="n">
        <v>4.8</v>
      </c>
      <c r="E17" s="18" t="n">
        <v>9200</v>
      </c>
      <c r="F17" s="27">
        <f>D17*E17</f>
        <v/>
      </c>
      <c r="G17" s="16" t="inlineStr">
        <is>
          <t>26.26 der.</t>
        </is>
      </c>
      <c r="H17" s="27" t="n">
        <v>12518.97</v>
      </c>
      <c r="I17" s="19">
        <f>D17*H17</f>
        <v/>
      </c>
      <c r="J17" s="19">
        <f>I17-F17</f>
        <v/>
      </c>
      <c r="K17" s="59">
        <f>IFERROR(J17/F17,"")</f>
        <v/>
      </c>
      <c r="L17" s="20" t="inlineStr">
        <is>
          <t>Waist slab and steps, uplifted M25 -&gt; M35</t>
        </is>
      </c>
    </row>
    <row r="18" ht="30" customHeight="1">
      <c r="A18" s="15" t="inlineStr">
        <is>
          <t>III</t>
        </is>
      </c>
      <c r="B18" s="16" t="inlineStr">
        <is>
          <t>Headhouse structure (400 mm wall / 500 mm roof)</t>
        </is>
      </c>
      <c r="C18" s="16" t="inlineStr">
        <is>
          <t>m3</t>
        </is>
      </c>
      <c r="D18" s="17" t="n">
        <v>28.56</v>
      </c>
      <c r="E18" s="18" t="n">
        <v>8640</v>
      </c>
      <c r="F18" s="27">
        <f>D18*E18</f>
        <v/>
      </c>
      <c r="G18" s="16" t="inlineStr">
        <is>
          <t>26.19 der. / 25.76</t>
        </is>
      </c>
      <c r="H18" s="58" t="n"/>
      <c r="I18" s="58" t="n"/>
      <c r="J18" s="58" t="n"/>
      <c r="K18" s="58" t="n"/>
      <c r="L18" s="20" t="inlineStr">
        <is>
          <t>Two SSR items apply — walls at the derived pardi rate, roof at 25.76.  The owner bills them as one line, so no single SSR rate can stand against it.  The project's own bill splits them at C-06.1 / C-06.2</t>
        </is>
      </c>
    </row>
    <row r="19" ht="13" customHeight="1">
      <c r="A19" s="15" t="inlineStr">
        <is>
          <t>III</t>
        </is>
      </c>
      <c r="B19" s="16" t="inlineStr">
        <is>
          <t>Approach stairwell RC box (250 mm RC)</t>
        </is>
      </c>
      <c r="C19" s="16" t="inlineStr">
        <is>
          <t>m3</t>
        </is>
      </c>
      <c r="D19" s="17" t="n">
        <v>18.2</v>
      </c>
      <c r="E19" s="18" t="n">
        <v>8640</v>
      </c>
      <c r="F19" s="27">
        <f>D19*E19</f>
        <v/>
      </c>
      <c r="G19" s="16" t="inlineStr">
        <is>
          <t>26.19 der.</t>
        </is>
      </c>
      <c r="H19" s="27" t="n">
        <v>16024.97</v>
      </c>
      <c r="I19" s="19">
        <f>D19*H19</f>
        <v/>
      </c>
      <c r="J19" s="19">
        <f>I19-F19</f>
        <v/>
      </c>
      <c r="K19" s="59">
        <f>IFERROR(J19/F19,"")</f>
        <v/>
      </c>
      <c r="L19" s="20" t="inlineStr">
        <is>
          <t>Priced at the wall rate, as C-08</t>
        </is>
      </c>
    </row>
    <row r="20" ht="20" customHeight="1">
      <c r="A20" s="15" t="inlineStr">
        <is>
          <t>III</t>
        </is>
      </c>
      <c r="B20" s="16" t="inlineStr">
        <is>
          <t>Engineered burster slab (200 mm M30 — RC1 R-1)</t>
        </is>
      </c>
      <c r="C20" s="16" t="inlineStr">
        <is>
          <t>m3</t>
        </is>
      </c>
      <c r="D20" s="17" t="n">
        <v>38.4</v>
      </c>
      <c r="E20" s="18" t="n">
        <v>8200</v>
      </c>
      <c r="F20" s="27">
        <f>D20*E20</f>
        <v/>
      </c>
      <c r="G20" s="16" t="inlineStr">
        <is>
          <t>25.15</t>
        </is>
      </c>
      <c r="H20" s="27" t="n">
        <v>7471</v>
      </c>
      <c r="I20" s="19">
        <f>D20*H20</f>
        <v/>
      </c>
      <c r="J20" s="19">
        <f>I20-F20</f>
        <v/>
      </c>
      <c r="K20" s="59">
        <f>IFERROR(J20/F20,"")</f>
        <v/>
      </c>
      <c r="L20" s="20" t="inlineStr">
        <is>
          <t>Ground-supported slab on the rubble layer, so the M-30 raft item.  RC1 flagged this rate [REVIEW] after the grade changed; the SSR answers it</t>
        </is>
      </c>
    </row>
    <row r="21" ht="30" customHeight="1">
      <c r="A21" s="15" t="inlineStr">
        <is>
          <t>III</t>
        </is>
      </c>
      <c r="B21" s="16" t="inlineStr">
        <is>
          <t>Sentry post RC frame — brick infill measured as brickwork (RC1 R-6)</t>
        </is>
      </c>
      <c r="C21" s="16" t="inlineStr">
        <is>
          <t>m3</t>
        </is>
      </c>
      <c r="D21" s="17" t="n">
        <v>18.6</v>
      </c>
      <c r="E21" s="18" t="n">
        <v>8500</v>
      </c>
      <c r="F21" s="27">
        <f>D21*E21</f>
        <v/>
      </c>
      <c r="G21" s="16" t="inlineStr">
        <is>
          <t>25.15 / 25.35 / 25.54 / 25.74</t>
        </is>
      </c>
      <c r="H21" s="58" t="n"/>
      <c r="I21" s="58" t="n"/>
      <c r="J21" s="58" t="n"/>
      <c r="K21" s="58" t="n"/>
      <c r="L21" s="20" t="inlineStr">
        <is>
          <t>Four SSR items apply to a frame — footings, columns, beams, slabs — at Rs 7 471 to Rs 14 299.  The project's own bill splits them at SC-01 to SC-07.  One blended rate cannot be checked against one SSR rate</t>
        </is>
      </c>
    </row>
    <row r="22" ht="30" customHeight="1">
      <c r="A22" s="15" t="inlineStr">
        <is>
          <t>III</t>
        </is>
      </c>
      <c r="B22" s="16" t="inlineStr">
        <is>
          <t>110 mm internal brick partition walls</t>
        </is>
      </c>
      <c r="C22" s="16" t="inlineStr">
        <is>
          <t>m2</t>
        </is>
      </c>
      <c r="D22" s="17" t="n">
        <v>95</v>
      </c>
      <c r="E22" s="18" t="n">
        <v>920</v>
      </c>
      <c r="F22" s="27">
        <f>D22*E22</f>
        <v/>
      </c>
      <c r="G22" s="16" t="inlineStr">
        <is>
          <t>27.06</t>
        </is>
      </c>
      <c r="H22" s="27" t="n">
        <v>1119</v>
      </c>
      <c r="I22" s="19">
        <f>D22*H22</f>
        <v/>
      </c>
      <c r="J22" s="19">
        <f>I22-F22</f>
        <v/>
      </c>
      <c r="K22" s="59">
        <f>IFERROR(J22/F22,"")</f>
        <v/>
      </c>
      <c r="L22" s="20" t="inlineStr">
        <is>
          <t>Half-brick thick wall in CM 1:4 with hoop-iron reinforcement.  NOTE: the project's own W8 partitions (C-14) are 110 REINFORCED CONCRETE with A252 mesh both faces, not brick — the two bills describe different work</t>
        </is>
      </c>
    </row>
    <row r="23" ht="13" customHeight="1">
      <c r="A23" s="15" t="inlineStr">
        <is>
          <t>III</t>
        </is>
      </c>
      <c r="B23" s="16" t="inlineStr">
        <is>
          <t>Escape shaft collars ESC 1 and ESC 2, 250 RC, OD 1900 (RC1 R-7)</t>
        </is>
      </c>
      <c r="C23" s="16" t="inlineStr">
        <is>
          <t>m3</t>
        </is>
      </c>
      <c r="D23" s="17" t="n">
        <v>6.285</v>
      </c>
      <c r="E23" s="18" t="n">
        <v>8640</v>
      </c>
      <c r="F23" s="27">
        <f>D23*E23</f>
        <v/>
      </c>
      <c r="G23" s="16" t="inlineStr">
        <is>
          <t>26.19 der.</t>
        </is>
      </c>
      <c r="H23" s="27" t="n">
        <v>16024.97</v>
      </c>
      <c r="I23" s="19">
        <f>D23*H23</f>
        <v/>
      </c>
      <c r="J23" s="19">
        <f>I23-F23</f>
        <v/>
      </c>
      <c r="K23" s="59">
        <f>IFERROR(J23/F23,"")</f>
        <v/>
      </c>
      <c r="L23" s="20" t="inlineStr">
        <is>
          <t>As C-12</t>
        </is>
      </c>
    </row>
    <row r="24" ht="13" customHeight="1">
      <c r="A24" s="15" t="inlineStr">
        <is>
          <t>IV</t>
        </is>
      </c>
      <c r="B24" s="16" t="inlineStr">
        <is>
          <t>Pressure roof slab rebar (T25 / T12)</t>
        </is>
      </c>
      <c r="C24" s="16" t="inlineStr">
        <is>
          <t>t</t>
        </is>
      </c>
      <c r="D24" s="17" t="n">
        <v>23.22</v>
      </c>
      <c r="E24" s="18" t="n">
        <v>78000</v>
      </c>
      <c r="F24" s="27">
        <f>D24*E24</f>
        <v/>
      </c>
      <c r="G24" s="16" t="inlineStr">
        <is>
          <t>26.33</t>
        </is>
      </c>
      <c r="H24" s="27" t="n">
        <v>89703</v>
      </c>
      <c r="I24" s="19">
        <f>D24*H24</f>
        <v/>
      </c>
      <c r="J24" s="19">
        <f>I24-F24</f>
        <v/>
      </c>
      <c r="K24" s="59">
        <f>IFERROR(J24/F24,"")</f>
        <v/>
      </c>
      <c r="L24" s="20" t="inlineStr">
        <is>
          <t>TMT Fe-500 fixed in position</t>
        </is>
      </c>
    </row>
    <row r="25" ht="13" customHeight="1">
      <c r="A25" s="15" t="inlineStr">
        <is>
          <t>IV</t>
        </is>
      </c>
      <c r="B25" s="16" t="inlineStr">
        <is>
          <t>Perimeter and shear wall rebar (T16 / T20)</t>
        </is>
      </c>
      <c r="C25" s="16" t="inlineStr">
        <is>
          <t>t</t>
        </is>
      </c>
      <c r="D25" s="17" t="n">
        <v>17.85</v>
      </c>
      <c r="E25" s="18" t="n">
        <v>78000</v>
      </c>
      <c r="F25" s="27">
        <f>D25*E25</f>
        <v/>
      </c>
      <c r="G25" s="16" t="inlineStr">
        <is>
          <t>26.33</t>
        </is>
      </c>
      <c r="H25" s="27" t="n">
        <v>89703</v>
      </c>
      <c r="I25" s="19">
        <f>D25*H25</f>
        <v/>
      </c>
      <c r="J25" s="19">
        <f>I25-F25</f>
        <v/>
      </c>
      <c r="K25" s="59">
        <f>IFERROR(J25/F25,"")</f>
        <v/>
      </c>
      <c r="L25" s="20" t="inlineStr">
        <is>
          <t>As above</t>
        </is>
      </c>
    </row>
    <row r="26" ht="13" customHeight="1">
      <c r="A26" s="15" t="inlineStr">
        <is>
          <t>IV</t>
        </is>
      </c>
      <c r="B26" s="16" t="inlineStr">
        <is>
          <t>Mat raft and haunch diagonal rebar</t>
        </is>
      </c>
      <c r="C26" s="16" t="inlineStr">
        <is>
          <t>t</t>
        </is>
      </c>
      <c r="D26" s="17" t="n">
        <v>13.14</v>
      </c>
      <c r="E26" s="18" t="n">
        <v>78000</v>
      </c>
      <c r="F26" s="27">
        <f>D26*E26</f>
        <v/>
      </c>
      <c r="G26" s="16" t="inlineStr">
        <is>
          <t>26.33</t>
        </is>
      </c>
      <c r="H26" s="27" t="n">
        <v>89703</v>
      </c>
      <c r="I26" s="19">
        <f>D26*H26</f>
        <v/>
      </c>
      <c r="J26" s="19">
        <f>I26-F26</f>
        <v/>
      </c>
      <c r="K26" s="59">
        <f>IFERROR(J26/F26,"")</f>
        <v/>
      </c>
      <c r="L26" s="20" t="inlineStr">
        <is>
          <t>As above</t>
        </is>
      </c>
    </row>
    <row r="27" ht="13" customHeight="1">
      <c r="A27" s="15" t="inlineStr">
        <is>
          <t>IV</t>
        </is>
      </c>
      <c r="B27" s="16" t="inlineStr">
        <is>
          <t>Headhouse, approach and staircase steel</t>
        </is>
      </c>
      <c r="C27" s="16" t="inlineStr">
        <is>
          <t>t</t>
        </is>
      </c>
      <c r="D27" s="17" t="n">
        <v>6.76</v>
      </c>
      <c r="E27" s="18" t="n">
        <v>78000</v>
      </c>
      <c r="F27" s="27">
        <f>D27*E27</f>
        <v/>
      </c>
      <c r="G27" s="16" t="inlineStr">
        <is>
          <t>26.33</t>
        </is>
      </c>
      <c r="H27" s="27" t="n">
        <v>89703</v>
      </c>
      <c r="I27" s="19">
        <f>D27*H27</f>
        <v/>
      </c>
      <c r="J27" s="19">
        <f>I27-F27</f>
        <v/>
      </c>
      <c r="K27" s="59">
        <f>IFERROR(J27/F27,"")</f>
        <v/>
      </c>
      <c r="L27" s="20" t="inlineStr">
        <is>
          <t>As above</t>
        </is>
      </c>
    </row>
    <row r="28" ht="20" customHeight="1">
      <c r="A28" s="15" t="inlineStr">
        <is>
          <t>IV</t>
        </is>
      </c>
      <c r="B28" s="16" t="inlineStr">
        <is>
          <t>Burster slab mesh (T12 @ 150 B/W)</t>
        </is>
      </c>
      <c r="C28" s="16" t="inlineStr">
        <is>
          <t>t</t>
        </is>
      </c>
      <c r="D28" s="17" t="n">
        <v>2.89</v>
      </c>
      <c r="E28" s="18" t="n">
        <v>78000</v>
      </c>
      <c r="F28" s="27">
        <f>D28*E28</f>
        <v/>
      </c>
      <c r="G28" s="16" t="inlineStr">
        <is>
          <t>26.33</t>
        </is>
      </c>
      <c r="H28" s="27" t="n">
        <v>89703</v>
      </c>
      <c r="I28" s="19">
        <f>D28*H28</f>
        <v/>
      </c>
      <c r="J28" s="19">
        <f>I28-F28</f>
        <v/>
      </c>
      <c r="K28" s="59">
        <f>IFERROR(J28/F28,"")</f>
        <v/>
      </c>
      <c r="L28" s="20" t="inlineStr">
        <is>
          <t>The RC1 [REVIEW] on this line is a QUANTITY question and the SSR does not touch it — only the rate is compared here</t>
        </is>
      </c>
    </row>
    <row r="29" ht="13" customHeight="1">
      <c r="A29" s="15" t="inlineStr">
        <is>
          <t>IV</t>
        </is>
      </c>
      <c r="B29" s="16" t="inlineStr">
        <is>
          <t>Sentry post structural rebar</t>
        </is>
      </c>
      <c r="C29" s="16" t="inlineStr">
        <is>
          <t>t</t>
        </is>
      </c>
      <c r="D29" s="17" t="n">
        <v>3.93</v>
      </c>
      <c r="E29" s="18" t="n">
        <v>78000</v>
      </c>
      <c r="F29" s="27">
        <f>D29*E29</f>
        <v/>
      </c>
      <c r="G29" s="16" t="inlineStr">
        <is>
          <t>26.33</t>
        </is>
      </c>
      <c r="H29" s="27" t="n">
        <v>89703</v>
      </c>
      <c r="I29" s="19">
        <f>D29*H29</f>
        <v/>
      </c>
      <c r="J29" s="19">
        <f>I29-F29</f>
        <v/>
      </c>
      <c r="K29" s="59">
        <f>IFERROR(J29/F29,"")</f>
        <v/>
      </c>
      <c r="L29" s="20" t="inlineStr">
        <is>
          <t>As above</t>
        </is>
      </c>
    </row>
    <row r="30" ht="13" customHeight="1">
      <c r="A30" s="15" t="inlineStr">
        <is>
          <t>IV</t>
        </is>
      </c>
      <c r="B30" s="16" t="inlineStr">
        <is>
          <t>EMP welding at 4th node and bonding straps</t>
        </is>
      </c>
      <c r="C30" s="16" t="inlineStr">
        <is>
          <t>item</t>
        </is>
      </c>
      <c r="D30" s="17" t="n">
        <v>1</v>
      </c>
      <c r="E30" s="18" t="n">
        <v>380000</v>
      </c>
      <c r="F30" s="27">
        <f>D30*E30</f>
        <v/>
      </c>
      <c r="G30" s="16" t="inlineStr">
        <is>
          <t>—</t>
        </is>
      </c>
      <c r="H30" s="58" t="n"/>
      <c r="I30" s="58" t="n"/>
      <c r="J30" s="58" t="n"/>
      <c r="K30" s="58" t="n"/>
      <c r="L30" s="20" t="inlineStr">
        <is>
          <t>NOT IN THE SSR</t>
        </is>
      </c>
    </row>
    <row r="31" ht="13" customHeight="1">
      <c r="A31" s="15" t="inlineStr">
        <is>
          <t>V</t>
        </is>
      </c>
      <c r="B31" s="16" t="inlineStr">
        <is>
          <t>Blast doors 1 and 2 (&gt;= 7 bar, rebound-rated)</t>
        </is>
      </c>
      <c r="C31" s="16" t="inlineStr">
        <is>
          <t>set</t>
        </is>
      </c>
      <c r="D31" s="17" t="n">
        <v>2</v>
      </c>
      <c r="E31" s="18" t="n">
        <v>1250000</v>
      </c>
      <c r="F31" s="27">
        <f>D31*E31</f>
        <v/>
      </c>
      <c r="G31" s="16" t="inlineStr">
        <is>
          <t>—</t>
        </is>
      </c>
      <c r="H31" s="58" t="n"/>
      <c r="I31" s="58" t="n"/>
      <c r="J31" s="58" t="n"/>
      <c r="K31" s="58" t="n"/>
      <c r="L31" s="20" t="inlineStr">
        <is>
          <t>NOT IN THE SSR</t>
        </is>
      </c>
    </row>
    <row r="32" ht="13" customHeight="1">
      <c r="A32" s="15" t="inlineStr">
        <is>
          <t>V</t>
        </is>
      </c>
      <c r="B32" s="16" t="inlineStr">
        <is>
          <t>Emergency exit hatches (900 clear, 621 kPa)</t>
        </is>
      </c>
      <c r="C32" s="16" t="inlineStr">
        <is>
          <t>set</t>
        </is>
      </c>
      <c r="D32" s="17" t="n">
        <v>2</v>
      </c>
      <c r="E32" s="18" t="n">
        <v>450000</v>
      </c>
      <c r="F32" s="27">
        <f>D32*E32</f>
        <v/>
      </c>
      <c r="G32" s="16" t="inlineStr">
        <is>
          <t>—</t>
        </is>
      </c>
      <c r="H32" s="58" t="n"/>
      <c r="I32" s="58" t="n"/>
      <c r="J32" s="58" t="n"/>
      <c r="K32" s="58" t="n"/>
      <c r="L32" s="20" t="inlineStr">
        <is>
          <t>NOT IN THE SSR</t>
        </is>
      </c>
    </row>
    <row r="33" ht="13" customHeight="1">
      <c r="A33" s="15" t="inlineStr">
        <is>
          <t>V</t>
        </is>
      </c>
      <c r="B33" s="16" t="inlineStr">
        <is>
          <t>Fast-acting blast valves BV-1 to BV-3 (DN100)</t>
        </is>
      </c>
      <c r="C33" s="16" t="inlineStr">
        <is>
          <t>set</t>
        </is>
      </c>
      <c r="D33" s="17" t="n">
        <v>3</v>
      </c>
      <c r="E33" s="18" t="n">
        <v>160000</v>
      </c>
      <c r="F33" s="27">
        <f>D33*E33</f>
        <v/>
      </c>
      <c r="G33" s="16" t="inlineStr">
        <is>
          <t>—</t>
        </is>
      </c>
      <c r="H33" s="58" t="n"/>
      <c r="I33" s="58" t="n"/>
      <c r="J33" s="58" t="n"/>
      <c r="K33" s="58" t="n"/>
      <c r="L33" s="20" t="inlineStr">
        <is>
          <t>NOT IN THE SSR</t>
        </is>
      </c>
    </row>
    <row r="34" ht="13" customHeight="1">
      <c r="A34" s="15" t="inlineStr">
        <is>
          <t>V</t>
        </is>
      </c>
      <c r="B34" s="16" t="inlineStr">
        <is>
          <t>Generator blast valves BV-4 and BV-5 (DN350)</t>
        </is>
      </c>
      <c r="C34" s="16" t="inlineStr">
        <is>
          <t>set</t>
        </is>
      </c>
      <c r="D34" s="17" t="n">
        <v>2</v>
      </c>
      <c r="E34" s="18" t="n">
        <v>320000</v>
      </c>
      <c r="F34" s="27">
        <f>D34*E34</f>
        <v/>
      </c>
      <c r="G34" s="16" t="inlineStr">
        <is>
          <t>—</t>
        </is>
      </c>
      <c r="H34" s="58" t="n"/>
      <c r="I34" s="58" t="n"/>
      <c r="J34" s="58" t="n"/>
      <c r="K34" s="58" t="n"/>
      <c r="L34" s="20" t="inlineStr">
        <is>
          <t>NOT IN THE SSR</t>
        </is>
      </c>
    </row>
    <row r="35" ht="13" customHeight="1">
      <c r="A35" s="15" t="inlineStr">
        <is>
          <t>V</t>
        </is>
      </c>
      <c r="B35" s="16" t="inlineStr">
        <is>
          <t>NBC collective protection trains (2 x 300 m3/h)</t>
        </is>
      </c>
      <c r="C35" s="16" t="inlineStr">
        <is>
          <t>set</t>
        </is>
      </c>
      <c r="D35" s="17" t="n">
        <v>2</v>
      </c>
      <c r="E35" s="18" t="n">
        <v>1850000</v>
      </c>
      <c r="F35" s="27">
        <f>D35*E35</f>
        <v/>
      </c>
      <c r="G35" s="16" t="inlineStr">
        <is>
          <t>—</t>
        </is>
      </c>
      <c r="H35" s="58" t="n"/>
      <c r="I35" s="58" t="n"/>
      <c r="J35" s="58" t="n"/>
      <c r="K35" s="58" t="n"/>
      <c r="L35" s="20" t="inlineStr">
        <is>
          <t>NOT IN THE SSR</t>
        </is>
      </c>
    </row>
    <row r="36" ht="13" customHeight="1">
      <c r="A36" s="15" t="inlineStr">
        <is>
          <t>V</t>
        </is>
      </c>
      <c r="B36" s="16" t="inlineStr">
        <is>
          <t>Sealed Zone-2 welded EMP enclosure (3 x 3 x 2.4 m)</t>
        </is>
      </c>
      <c r="C36" s="16" t="inlineStr">
        <is>
          <t>item</t>
        </is>
      </c>
      <c r="D36" s="17" t="n">
        <v>1</v>
      </c>
      <c r="E36" s="18" t="n">
        <v>850000</v>
      </c>
      <c r="F36" s="27">
        <f>D36*E36</f>
        <v/>
      </c>
      <c r="G36" s="16" t="inlineStr">
        <is>
          <t>—</t>
        </is>
      </c>
      <c r="H36" s="58" t="n"/>
      <c r="I36" s="58" t="n"/>
      <c r="J36" s="58" t="n"/>
      <c r="K36" s="58" t="n"/>
      <c r="L36" s="20" t="inlineStr">
        <is>
          <t>NOT IN THE SSR</t>
        </is>
      </c>
    </row>
    <row r="37" ht="20" customHeight="1">
      <c r="A37" s="15" t="inlineStr">
        <is>
          <t>V</t>
        </is>
      </c>
      <c r="B37" s="16" t="inlineStr">
        <is>
          <t>Layerwise engineered fill and basalt rubble berm</t>
        </is>
      </c>
      <c r="C37" s="16" t="inlineStr">
        <is>
          <t>m3</t>
        </is>
      </c>
      <c r="D37" s="17" t="n">
        <v>620</v>
      </c>
      <c r="E37" s="18" t="n">
        <v>420</v>
      </c>
      <c r="F37" s="27">
        <f>D37*E37</f>
        <v/>
      </c>
      <c r="G37" s="16" t="inlineStr">
        <is>
          <t>21.37 / 21.38</t>
        </is>
      </c>
      <c r="H37" s="27" t="n">
        <v>599</v>
      </c>
      <c r="I37" s="19">
        <f>D37*H37</f>
        <v/>
      </c>
      <c r="J37" s="19">
        <f>I37-F37</f>
        <v/>
      </c>
      <c r="K37" s="59">
        <f>IFERROR(J37/F37,"")</f>
        <v/>
      </c>
      <c r="L37" s="20" t="inlineStr">
        <is>
          <t>Compared at the engineered-fill item 21.37.  The rubble part of the same owner line is 21.38 at Rs 1 382</t>
        </is>
      </c>
    </row>
    <row r="38" ht="13" customHeight="1">
      <c r="A38" s="15" t="inlineStr">
        <is>
          <t>V</t>
        </is>
      </c>
      <c r="B38" s="16" t="inlineStr">
        <is>
          <t>Submersible sump pumps + effluent piping + septic</t>
        </is>
      </c>
      <c r="C38" s="16" t="inlineStr">
        <is>
          <t>set</t>
        </is>
      </c>
      <c r="D38" s="17" t="n">
        <v>1</v>
      </c>
      <c r="E38" s="18" t="n">
        <v>420000</v>
      </c>
      <c r="F38" s="27">
        <f>D38*E38</f>
        <v/>
      </c>
      <c r="G38" s="16" t="inlineStr">
        <is>
          <t>—</t>
        </is>
      </c>
      <c r="H38" s="58" t="n"/>
      <c r="I38" s="58" t="n"/>
      <c r="J38" s="58" t="n"/>
      <c r="K38" s="58" t="n"/>
      <c r="L38" s="20" t="inlineStr">
        <is>
          <t>NOT IN THE SSR in this form</t>
        </is>
      </c>
    </row>
    <row r="39" ht="20" customHeight="1">
      <c r="A39" s="15" t="inlineStr">
        <is>
          <t>V</t>
        </is>
      </c>
      <c r="B39" s="16" t="inlineStr">
        <is>
          <t>Sand-faced internal plaster, punning and painting</t>
        </is>
      </c>
      <c r="C39" s="16" t="inlineStr">
        <is>
          <t>m2</t>
        </is>
      </c>
      <c r="D39" s="17" t="n">
        <v>720</v>
      </c>
      <c r="E39" s="18" t="n">
        <v>180</v>
      </c>
      <c r="F39" s="27">
        <f>D39*E39</f>
        <v/>
      </c>
      <c r="G39" s="16" t="inlineStr">
        <is>
          <t>32.04 + 32.15 + 36.12</t>
        </is>
      </c>
      <c r="H39" s="27" t="n">
        <v>423</v>
      </c>
      <c r="I39" s="19">
        <f>D39*H39</f>
        <v/>
      </c>
      <c r="J39" s="19">
        <f>I39-F39</f>
        <v/>
      </c>
      <c r="K39" s="59">
        <f>IFERROR(J39/F39,"")</f>
        <v/>
      </c>
      <c r="L39" s="20" t="inlineStr">
        <is>
          <t>Three SSR items make up this one owner line: 12 mm internal plaster CM 1:4 (Rs 278) + neeru finish, which is what punning is (Rs 65) + two coats of plastic emulsion (Rs 80) = Rs 423</t>
        </is>
      </c>
    </row>
    <row r="40" ht="13" customHeight="1">
      <c r="A40" s="15" t="inlineStr">
        <is>
          <t>V</t>
        </is>
      </c>
      <c r="B40" s="16" t="inlineStr">
        <is>
          <t>Testing, commissioning and envelope leakage test</t>
        </is>
      </c>
      <c r="C40" s="16" t="inlineStr">
        <is>
          <t>item</t>
        </is>
      </c>
      <c r="D40" s="17" t="n">
        <v>1</v>
      </c>
      <c r="E40" s="18" t="n">
        <v>250000</v>
      </c>
      <c r="F40" s="27">
        <f>D40*E40</f>
        <v/>
      </c>
      <c r="G40" s="16" t="inlineStr">
        <is>
          <t>—</t>
        </is>
      </c>
      <c r="H40" s="58" t="n"/>
      <c r="I40" s="58" t="n"/>
      <c r="J40" s="58" t="n"/>
      <c r="K40" s="58" t="n"/>
      <c r="L40" s="20" t="inlineStr">
        <is>
          <t>NOT IN THE SSR</t>
        </is>
      </c>
    </row>
    <row r="42">
      <c r="A42" s="41" t="n"/>
      <c r="B42" s="42" t="inlineStr">
        <is>
          <t>TOTAL — comparable lines only</t>
        </is>
      </c>
      <c r="C42" s="41" t="n"/>
      <c r="D42" s="41" t="n"/>
      <c r="E42" s="41" t="n"/>
      <c r="F42" s="43">
        <f>F5+F6+F7+F9+F10+F11+F14+F16+F17+F19+F20+F22+F23+F24+F25+F26+F27+F28+F29+F37+F39</f>
        <v/>
      </c>
      <c r="G42" s="41" t="n"/>
      <c r="H42" s="41" t="n"/>
      <c r="I42" s="43">
        <f>I5+I6+I7+I9+I10+I11+I14+I16+I17+I19+I20+I22+I23+I24+I25+I26+I27+I28+I29+I37+I39</f>
        <v/>
      </c>
      <c r="J42" s="43">
        <f>J5+J6+J7+J9+J10+J11+J14+J16+J17+J19+J20+J22+J23+J24+J25+J26+J27+J28+J29+J37+J39</f>
        <v/>
      </c>
      <c r="K42" s="60">
        <f>IFERROR(J42/F42,"")</f>
        <v/>
      </c>
      <c r="L42" s="49" t="inlineStr">
        <is>
          <t>The owner's rates sit BELOW SSR 2022-23 on the lines that can be compared.  The gap is concentrated in three places: R.C.C. wall casting, rock excavation, and reinforcement.</t>
        </is>
      </c>
    </row>
  </sheetData>
  <mergeCells count="2">
    <mergeCell ref="A2:L2"/>
    <mergeCell ref="A1:L1"/>
  </mergeCells>
  <pageMargins left="0.3" right="0.3" top="0.4" bottom="0.4" header="0.5" footer="0.5"/>
  <pageSetup orientation="landscape" fitToWidth="1"/>
</worksheet>
</file>

<file path=xl/worksheets/sheet9.xml><?xml version="1.0" encoding="utf-8"?>
<worksheet xmlns="http://schemas.openxmlformats.org/spreadsheetml/2006/main">
  <sheetPr>
    <outlinePr summaryBelow="1" summaryRight="1"/>
    <pageSetUpPr/>
  </sheetPr>
  <dimension ref="A1:D42"/>
  <sheetViews>
    <sheetView showGridLines="0" workbookViewId="0">
      <pane ySplit="3" topLeftCell="A4" activePane="bottomLeft" state="frozen"/>
      <selection pane="bottomLeft" activeCell="A1" sqref="A1"/>
    </sheetView>
  </sheetViews>
  <sheetFormatPr baseColWidth="8" defaultRowHeight="15"/>
  <cols>
    <col width="58" customWidth="1" min="1" max="1"/>
    <col width="22" customWidth="1" min="2" max="2"/>
    <col width="20" customWidth="1" min="3" max="3"/>
    <col width="16" customWidth="1" min="4" max="4"/>
  </cols>
  <sheetData>
    <row r="1" ht="26" customHeight="1">
      <c r="A1" s="1" t="inlineStr">
        <is>
          <t>SSR 2022-23 — GENERAL MATERIAL, LABOUR AND CONSUMPTION RATES</t>
        </is>
      </c>
    </row>
    <row r="2" ht="22" customHeight="1">
      <c r="A2" s="2" t="inlineStr">
        <is>
          <t>Printed pages 541 (materials), 545 (labour) and 567-581 (consumption).  These do not price the bill — the completed rates do.  They are here because the derivations use them and because they show what is inside a composite rate.</t>
        </is>
      </c>
    </row>
    <row r="3" ht="32" customHeight="1">
      <c r="A3" s="14" t="inlineStr">
        <is>
          <t>Description</t>
        </is>
      </c>
      <c r="B3" s="14" t="inlineStr">
        <is>
          <t>Unit</t>
        </is>
      </c>
      <c r="C3" s="14" t="inlineStr">
        <is>
          <t>Rate / quantity (Rs)</t>
        </is>
      </c>
      <c r="D3" s="14" t="inlineStr">
        <is>
          <t>Block</t>
        </is>
      </c>
    </row>
    <row r="4" ht="13" customHeight="1">
      <c r="A4" s="16" t="inlineStr">
        <is>
          <t>Cement</t>
        </is>
      </c>
      <c r="B4" s="16" t="inlineStr">
        <is>
          <t>M.T.</t>
        </is>
      </c>
      <c r="C4" s="27" t="n">
        <v>6000</v>
      </c>
      <c r="D4" s="16" t="inlineStr">
        <is>
          <t>Material</t>
        </is>
      </c>
    </row>
    <row r="5" ht="13" customHeight="1">
      <c r="A5" s="16" t="inlineStr">
        <is>
          <t>Structural Steel</t>
        </is>
      </c>
      <c r="B5" s="16" t="inlineStr">
        <is>
          <t>M.T.</t>
        </is>
      </c>
      <c r="C5" s="27" t="n">
        <v>62575</v>
      </c>
      <c r="D5" s="16" t="inlineStr">
        <is>
          <t>Material</t>
        </is>
      </c>
    </row>
    <row r="6" ht="13" customHeight="1">
      <c r="A6" s="16" t="inlineStr">
        <is>
          <t>TMT Fe-500</t>
        </is>
      </c>
      <c r="B6" s="16" t="inlineStr">
        <is>
          <t>M.T.</t>
        </is>
      </c>
      <c r="C6" s="27" t="n">
        <v>61000</v>
      </c>
      <c r="D6" s="16" t="inlineStr">
        <is>
          <t>Material</t>
        </is>
      </c>
    </row>
    <row r="7" ht="13" customHeight="1">
      <c r="A7" s="16" t="inlineStr">
        <is>
          <t>HCRM / CRS reinforcement</t>
        </is>
      </c>
      <c r="B7" s="16" t="inlineStr">
        <is>
          <t>M.T.</t>
        </is>
      </c>
      <c r="C7" s="27" t="n">
        <v>63755</v>
      </c>
      <c r="D7" s="16" t="inlineStr">
        <is>
          <t>Material</t>
        </is>
      </c>
    </row>
    <row r="8" ht="13" customHeight="1">
      <c r="A8" s="16" t="inlineStr">
        <is>
          <t>Sand — natural / VSI artificial</t>
        </is>
      </c>
      <c r="B8" s="16" t="inlineStr">
        <is>
          <t>Cu.M.</t>
        </is>
      </c>
      <c r="C8" s="27" t="n">
        <v>1670</v>
      </c>
      <c r="D8" s="16" t="inlineStr">
        <is>
          <t>Material</t>
        </is>
      </c>
    </row>
    <row r="9" ht="13" customHeight="1">
      <c r="A9" s="16" t="inlineStr">
        <is>
          <t>Sand — crushed</t>
        </is>
      </c>
      <c r="B9" s="16" t="inlineStr">
        <is>
          <t>Cu.M.</t>
        </is>
      </c>
      <c r="C9" s="27" t="n">
        <v>1200</v>
      </c>
      <c r="D9" s="16" t="inlineStr">
        <is>
          <t>Material</t>
        </is>
      </c>
    </row>
    <row r="10" ht="13" customHeight="1">
      <c r="A10" s="16" t="inlineStr">
        <is>
          <t>Sand — natural screened (plaster only)</t>
        </is>
      </c>
      <c r="B10" s="16" t="inlineStr">
        <is>
          <t>Cu.M.</t>
        </is>
      </c>
      <c r="C10" s="27" t="n">
        <v>1781</v>
      </c>
      <c r="D10" s="16" t="inlineStr">
        <is>
          <t>Material</t>
        </is>
      </c>
    </row>
    <row r="11" ht="13" customHeight="1">
      <c r="A11" s="16" t="inlineStr">
        <is>
          <t>Bricks — I class (red)</t>
        </is>
      </c>
      <c r="B11" s="16" t="inlineStr">
        <is>
          <t>No.</t>
        </is>
      </c>
      <c r="C11" s="27" t="n">
        <v>9</v>
      </c>
      <c r="D11" s="16" t="inlineStr">
        <is>
          <t>Material</t>
        </is>
      </c>
    </row>
    <row r="12" ht="13" customHeight="1">
      <c r="A12" s="16" t="inlineStr">
        <is>
          <t>Bricks — II class (red)</t>
        </is>
      </c>
      <c r="B12" s="16" t="inlineStr">
        <is>
          <t>No.</t>
        </is>
      </c>
      <c r="C12" s="27" t="n">
        <v>8.5</v>
      </c>
      <c r="D12" s="16" t="inlineStr">
        <is>
          <t>Material</t>
        </is>
      </c>
    </row>
    <row r="13" ht="13" customHeight="1">
      <c r="A13" s="16" t="inlineStr">
        <is>
          <t>Rubble stone (excluding royalty)</t>
        </is>
      </c>
      <c r="B13" s="16" t="inlineStr">
        <is>
          <t>Cu.M.</t>
        </is>
      </c>
      <c r="C13" s="27" t="n">
        <v>653</v>
      </c>
      <c r="D13" s="16" t="inlineStr">
        <is>
          <t>Material</t>
        </is>
      </c>
    </row>
    <row r="14" ht="13" customHeight="1">
      <c r="A14" s="16" t="inlineStr">
        <is>
          <t>Aggregate 40 mm (hand broken, blasted, excl. royalty)</t>
        </is>
      </c>
      <c r="B14" s="16" t="inlineStr">
        <is>
          <t>Cu.M.</t>
        </is>
      </c>
      <c r="C14" s="27" t="n">
        <v>900</v>
      </c>
      <c r="D14" s="16" t="inlineStr">
        <is>
          <t>Material</t>
        </is>
      </c>
    </row>
    <row r="15" ht="13" customHeight="1">
      <c r="A15" s="16" t="inlineStr">
        <is>
          <t>Aggregate 20 mm</t>
        </is>
      </c>
      <c r="B15" s="16" t="inlineStr">
        <is>
          <t>Cu.M.</t>
        </is>
      </c>
      <c r="C15" s="27" t="n">
        <v>1050</v>
      </c>
      <c r="D15" s="16" t="inlineStr">
        <is>
          <t>Material</t>
        </is>
      </c>
    </row>
    <row r="16" ht="13" customHeight="1">
      <c r="A16" s="16" t="inlineStr">
        <is>
          <t>Stone dust</t>
        </is>
      </c>
      <c r="B16" s="16" t="inlineStr">
        <is>
          <t>Cu.M.</t>
        </is>
      </c>
      <c r="C16" s="27" t="n">
        <v>835</v>
      </c>
      <c r="D16" s="16" t="inlineStr">
        <is>
          <t>Material</t>
        </is>
      </c>
    </row>
    <row r="17" ht="13" customHeight="1">
      <c r="A17" s="16" t="inlineStr">
        <is>
          <t>Soft murum</t>
        </is>
      </c>
      <c r="B17" s="16" t="inlineStr">
        <is>
          <t>Cu.M.</t>
        </is>
      </c>
      <c r="C17" s="27" t="n">
        <v>313</v>
      </c>
      <c r="D17" s="16" t="inlineStr">
        <is>
          <t>Material</t>
        </is>
      </c>
    </row>
    <row r="18" ht="13" customHeight="1">
      <c r="A18" s="16" t="inlineStr">
        <is>
          <t>Hard murum</t>
        </is>
      </c>
      <c r="B18" s="16" t="inlineStr">
        <is>
          <t>Cu.M.</t>
        </is>
      </c>
      <c r="C18" s="27" t="n">
        <v>316</v>
      </c>
      <c r="D18" s="16" t="inlineStr">
        <is>
          <t>Material</t>
        </is>
      </c>
    </row>
    <row r="19" ht="13" customHeight="1">
      <c r="A19" s="16" t="inlineStr">
        <is>
          <t>Water</t>
        </is>
      </c>
      <c r="B19" s="16" t="inlineStr">
        <is>
          <t>1000 litre</t>
        </is>
      </c>
      <c r="C19" s="27" t="n">
        <v>213</v>
      </c>
      <c r="D19" s="16" t="inlineStr">
        <is>
          <t>Material</t>
        </is>
      </c>
    </row>
    <row r="20" ht="13" customHeight="1">
      <c r="A20" s="16" t="inlineStr">
        <is>
          <t>Mason I class (skilled)</t>
        </is>
      </c>
      <c r="B20" s="16" t="inlineStr">
        <is>
          <t>day</t>
        </is>
      </c>
      <c r="C20" s="27" t="n">
        <v>677</v>
      </c>
      <c r="D20" s="16" t="inlineStr">
        <is>
          <t>Labour</t>
        </is>
      </c>
    </row>
    <row r="21" ht="13" customHeight="1">
      <c r="A21" s="16" t="inlineStr">
        <is>
          <t>Carpenter I class (skilled)</t>
        </is>
      </c>
      <c r="B21" s="16" t="inlineStr">
        <is>
          <t>day</t>
        </is>
      </c>
      <c r="C21" s="27" t="n">
        <v>677</v>
      </c>
      <c r="D21" s="16" t="inlineStr">
        <is>
          <t>Labour</t>
        </is>
      </c>
    </row>
    <row r="22" ht="13" customHeight="1">
      <c r="A22" s="16" t="inlineStr">
        <is>
          <t>Bar bender (skilled)</t>
        </is>
      </c>
      <c r="B22" s="16" t="inlineStr">
        <is>
          <t>day</t>
        </is>
      </c>
      <c r="C22" s="27" t="n">
        <v>677</v>
      </c>
      <c r="D22" s="16" t="inlineStr">
        <is>
          <t>Labour</t>
        </is>
      </c>
    </row>
    <row r="23" ht="13" customHeight="1">
      <c r="A23" s="16" t="inlineStr">
        <is>
          <t>Vibrator operator (skilled)</t>
        </is>
      </c>
      <c r="B23" s="16" t="inlineStr">
        <is>
          <t>day</t>
        </is>
      </c>
      <c r="C23" s="27" t="n">
        <v>677</v>
      </c>
      <c r="D23" s="16" t="inlineStr">
        <is>
          <t>Labour</t>
        </is>
      </c>
    </row>
    <row r="24" ht="13" customHeight="1">
      <c r="A24" s="16" t="inlineStr">
        <is>
          <t>Painter I class (skilled)</t>
        </is>
      </c>
      <c r="B24" s="16" t="inlineStr">
        <is>
          <t>day</t>
        </is>
      </c>
      <c r="C24" s="27" t="n">
        <v>677</v>
      </c>
      <c r="D24" s="16" t="inlineStr">
        <is>
          <t>Labour</t>
        </is>
      </c>
    </row>
    <row r="25" ht="13" customHeight="1">
      <c r="A25" s="16" t="inlineStr">
        <is>
          <t>Welder (skilled)</t>
        </is>
      </c>
      <c r="B25" s="16" t="inlineStr">
        <is>
          <t>day</t>
        </is>
      </c>
      <c r="C25" s="27" t="n">
        <v>677</v>
      </c>
      <c r="D25" s="16" t="inlineStr">
        <is>
          <t>Labour</t>
        </is>
      </c>
    </row>
    <row r="26" ht="13" customHeight="1">
      <c r="A26" s="16" t="inlineStr">
        <is>
          <t>Electrician</t>
        </is>
      </c>
      <c r="B26" s="16" t="inlineStr">
        <is>
          <t>day</t>
        </is>
      </c>
      <c r="C26" s="27" t="n">
        <v>677</v>
      </c>
      <c r="D26" s="16" t="inlineStr">
        <is>
          <t>Labour</t>
        </is>
      </c>
    </row>
    <row r="27" ht="13" customHeight="1">
      <c r="A27" s="16" t="inlineStr">
        <is>
          <t>Maistry / supervisor / mate (skilled)</t>
        </is>
      </c>
      <c r="B27" s="16" t="inlineStr">
        <is>
          <t>day</t>
        </is>
      </c>
      <c r="C27" s="27" t="n">
        <v>677</v>
      </c>
      <c r="D27" s="16" t="inlineStr">
        <is>
          <t>Labour</t>
        </is>
      </c>
    </row>
    <row r="28" ht="13" customHeight="1">
      <c r="A28" s="16" t="inlineStr">
        <is>
          <t>Jack hammer operator</t>
        </is>
      </c>
      <c r="B28" s="16" t="inlineStr">
        <is>
          <t>day</t>
        </is>
      </c>
      <c r="C28" s="27" t="n">
        <v>677</v>
      </c>
      <c r="D28" s="16" t="inlineStr">
        <is>
          <t>Labour</t>
        </is>
      </c>
    </row>
    <row r="29" ht="13" customHeight="1">
      <c r="A29" s="16" t="inlineStr">
        <is>
          <t>Semi-skilled labour</t>
        </is>
      </c>
      <c r="B29" s="16" t="inlineStr">
        <is>
          <t>day</t>
        </is>
      </c>
      <c r="C29" s="27" t="n">
        <v>648</v>
      </c>
      <c r="D29" s="16" t="inlineStr">
        <is>
          <t>Labour</t>
        </is>
      </c>
    </row>
    <row r="30" ht="13" customHeight="1">
      <c r="A30" s="16" t="inlineStr">
        <is>
          <t>Chiseler (semi-skilled)</t>
        </is>
      </c>
      <c r="B30" s="16" t="inlineStr">
        <is>
          <t>day</t>
        </is>
      </c>
      <c r="C30" s="27" t="n">
        <v>648</v>
      </c>
      <c r="D30" s="16" t="inlineStr">
        <is>
          <t>Labour</t>
        </is>
      </c>
    </row>
    <row r="31" ht="13" customHeight="1">
      <c r="A31" s="16" t="inlineStr">
        <is>
          <t>Breaker (semi-skilled)</t>
        </is>
      </c>
      <c r="B31" s="16" t="inlineStr">
        <is>
          <t>day</t>
        </is>
      </c>
      <c r="C31" s="27" t="n">
        <v>648</v>
      </c>
      <c r="D31" s="16" t="inlineStr">
        <is>
          <t>Labour</t>
        </is>
      </c>
    </row>
    <row r="32" ht="13" customHeight="1">
      <c r="A32" s="16" t="inlineStr">
        <is>
          <t>Bhisti, mixing / curing (semi-skilled)</t>
        </is>
      </c>
      <c r="B32" s="16" t="inlineStr">
        <is>
          <t>day</t>
        </is>
      </c>
      <c r="C32" s="27" t="n">
        <v>648</v>
      </c>
      <c r="D32" s="16" t="inlineStr">
        <is>
          <t>Labour</t>
        </is>
      </c>
    </row>
    <row r="33" ht="13" customHeight="1">
      <c r="A33" s="16" t="inlineStr">
        <is>
          <t>Mukadam (semi-skilled)</t>
        </is>
      </c>
      <c r="B33" s="16" t="inlineStr">
        <is>
          <t>day</t>
        </is>
      </c>
      <c r="C33" s="27" t="n">
        <v>648</v>
      </c>
      <c r="D33" s="16" t="inlineStr">
        <is>
          <t>Labour</t>
        </is>
      </c>
    </row>
    <row r="34" ht="13" customHeight="1">
      <c r="A34" s="16" t="inlineStr">
        <is>
          <t>Mazdoor — unskilled heavy</t>
        </is>
      </c>
      <c r="B34" s="16" t="inlineStr">
        <is>
          <t>day</t>
        </is>
      </c>
      <c r="C34" s="27" t="n">
        <v>615</v>
      </c>
      <c r="D34" s="16" t="inlineStr">
        <is>
          <t>Labour</t>
        </is>
      </c>
    </row>
    <row r="35" ht="13" customHeight="1">
      <c r="A35" s="16" t="inlineStr">
        <is>
          <t>Helper — unskilled</t>
        </is>
      </c>
      <c r="B35" s="16" t="inlineStr">
        <is>
          <t>day</t>
        </is>
      </c>
      <c r="C35" s="27" t="n">
        <v>615</v>
      </c>
      <c r="D35" s="16" t="inlineStr">
        <is>
          <t>Labour</t>
        </is>
      </c>
    </row>
    <row r="36" ht="13" customHeight="1">
      <c r="A36" s="16" t="inlineStr">
        <is>
          <t>Labour for excavation in hard rock (unblasted)</t>
        </is>
      </c>
      <c r="B36" s="16" t="inlineStr">
        <is>
          <t>day</t>
        </is>
      </c>
      <c r="C36" s="27" t="n">
        <v>615</v>
      </c>
      <c r="D36" s="16" t="inlineStr">
        <is>
          <t>Labour</t>
        </is>
      </c>
    </row>
    <row r="37" ht="13" customHeight="1">
      <c r="A37" s="16" t="inlineStr">
        <is>
          <t>Cement consumption, M15</t>
        </is>
      </c>
      <c r="B37" s="16" t="inlineStr">
        <is>
          <t>bags of 50 kg / m3</t>
        </is>
      </c>
      <c r="C37" s="27" t="n">
        <v>6</v>
      </c>
      <c r="D37" s="16" t="inlineStr">
        <is>
          <t>Consumption</t>
        </is>
      </c>
    </row>
    <row r="38" ht="13" customHeight="1">
      <c r="A38" s="16" t="inlineStr">
        <is>
          <t>Cement consumption, M20</t>
        </is>
      </c>
      <c r="B38" s="16" t="inlineStr">
        <is>
          <t>bags of 50 kg / m3</t>
        </is>
      </c>
      <c r="C38" s="27" t="n">
        <v>7</v>
      </c>
      <c r="D38" s="16" t="inlineStr">
        <is>
          <t>Consumption</t>
        </is>
      </c>
    </row>
    <row r="39" ht="13" customHeight="1">
      <c r="A39" s="16" t="inlineStr">
        <is>
          <t>Cement consumption, M25</t>
        </is>
      </c>
      <c r="B39" s="16" t="inlineStr">
        <is>
          <t>bags of 50 kg / m3</t>
        </is>
      </c>
      <c r="C39" s="27" t="n">
        <v>7.5</v>
      </c>
      <c r="D39" s="16" t="inlineStr">
        <is>
          <t>Consumption</t>
        </is>
      </c>
    </row>
    <row r="40" ht="13" customHeight="1">
      <c r="A40" s="16" t="inlineStr">
        <is>
          <t>Cement consumption, M30</t>
        </is>
      </c>
      <c r="B40" s="16" t="inlineStr">
        <is>
          <t>bags of 50 kg / m3</t>
        </is>
      </c>
      <c r="C40" s="27" t="n">
        <v>8</v>
      </c>
      <c r="D40" s="16" t="inlineStr">
        <is>
          <t>Consumption</t>
        </is>
      </c>
    </row>
    <row r="41" ht="13" customHeight="1">
      <c r="A41" s="16" t="inlineStr">
        <is>
          <t>Cement consumption, M35</t>
        </is>
      </c>
      <c r="B41" s="16" t="inlineStr">
        <is>
          <t>bags of 50 kg / m3</t>
        </is>
      </c>
      <c r="C41" s="27" t="n">
        <v>8.25</v>
      </c>
      <c r="D41" s="16" t="inlineStr">
        <is>
          <t>Consumption</t>
        </is>
      </c>
    </row>
    <row r="42" ht="13" customHeight="1">
      <c r="A42" s="16" t="inlineStr">
        <is>
          <t>Cement consumption, M40</t>
        </is>
      </c>
      <c r="B42" s="16" t="inlineStr">
        <is>
          <t>bags of 50 kg / m3</t>
        </is>
      </c>
      <c r="C42" s="27" t="n">
        <v>8.5</v>
      </c>
      <c r="D42" s="16" t="inlineStr">
        <is>
          <t>Consumption</t>
        </is>
      </c>
    </row>
  </sheetData>
  <mergeCells count="2">
    <mergeCell ref="A1:D1"/>
    <mergeCell ref="A2:D2"/>
  </mergeCells>
  <pageMargins left="0.3" right="0.3" top="0.4" bottom="0.4" header="0.5" footer="0.5"/>
  <pageSetup orientation="landscape" fitToWidth="1"/>
</worksheet>
</file>

<file path=xl/worksheets/sheet10.xml><?xml version="1.0" encoding="utf-8"?>
<worksheet xmlns="http://schemas.openxmlformats.org/spreadsheetml/2006/main">
  <sheetPr>
    <outlinePr summaryBelow="1" summaryRight="1"/>
    <pageSetUpPr/>
  </sheetPr>
  <dimension ref="A1:E10"/>
  <sheetViews>
    <sheetView showGridLines="0" workbookViewId="0">
      <pane ySplit="3" topLeftCell="A4" activePane="bottomLeft" state="frozen"/>
      <selection pane="bottomLeft" activeCell="A1" sqref="A1"/>
    </sheetView>
  </sheetViews>
  <sheetFormatPr baseColWidth="8" defaultRowHeight="15"/>
  <cols>
    <col width="10" customWidth="1" min="1" max="1"/>
    <col width="44" customWidth="1" min="2" max="2"/>
    <col width="78" customWidth="1" min="3" max="3"/>
    <col width="74" customWidth="1" min="4" max="4"/>
    <col width="60" customWidth="1" min="5" max="5"/>
  </cols>
  <sheetData>
    <row r="1" ht="26" customHeight="1">
      <c r="A1" s="1" t="inlineStr">
        <is>
          <t>OPEN ITEMS RAISED BY THIS REVISION</t>
        </is>
      </c>
    </row>
    <row r="2" ht="22" customHeight="1">
      <c r="A2" s="2" t="inlineStr">
        <is>
          <t>Each one is a question this rating exercise could not answer from the evidence.  None of them is closed here and none is guessed.</t>
        </is>
      </c>
    </row>
    <row r="3" ht="32" customHeight="1">
      <c r="A3" s="14" t="inlineStr">
        <is>
          <t>Ref</t>
        </is>
      </c>
      <c r="B3" s="14" t="inlineStr">
        <is>
          <t>Title</t>
        </is>
      </c>
      <c r="C3" s="14" t="inlineStr">
        <is>
          <t>What the evidence says</t>
        </is>
      </c>
      <c r="D3" s="14" t="inlineStr">
        <is>
          <t>What WM4 did</t>
        </is>
      </c>
      <c r="E3" s="14" t="inlineStr">
        <is>
          <t>What is needed to close it</t>
        </is>
      </c>
    </row>
    <row r="4" ht="30" customHeight="1">
      <c r="A4" s="16" t="inlineStr">
        <is>
          <t>WM4-V1</t>
        </is>
      </c>
      <c r="B4" s="16" t="inlineStr">
        <is>
          <t>Excavation below 6.0 m depth — the SSR sets no percentage</t>
        </is>
      </c>
      <c r="C4" s="20" t="inlineStr">
        <is>
          <t>SSR General Notes Section B stops at '4.5 m to 6.0 m depth add 30 %' and then says 'Depth beyond 6.0 m — extra percent to be decided by concerned Superintending Engineer'.  157.44 m3 of rock between (-)6.000 and (-)6.800, and the 9.477 m3 sump pit below it, fall in that band.</t>
        </is>
      </c>
      <c r="D4" s="20" t="inlineStr">
        <is>
          <t>Priced at +30 % as a DECLARED LOWER BOUND, tagged [A].  Every extra 10 percentage points is about Rs 21 800 on these two lines.</t>
        </is>
      </c>
      <c r="E4" s="20" t="inlineStr">
        <is>
          <t>A determination by the Superintending Engineer, PWD, Pune circle</t>
        </is>
      </c>
    </row>
    <row r="5" ht="30" customHeight="1">
      <c r="A5" s="16" t="inlineStr">
        <is>
          <t>WM4-V2</t>
        </is>
      </c>
      <c r="B5" s="16" t="inlineStr">
        <is>
          <t>Brick class — SSR grading against IS 1077</t>
        </is>
      </c>
      <c r="C5" s="20" t="inlineStr">
        <is>
          <t>SP-B1 specifies modular bricks CLASS 10 to IS 1077.  The SSR grades brick masonry as 'first class' and 'second class', which is a workmanship grading, and it publishes NO first-class item for superstructure walls at all — only plinth (27.02) and pillars (27.08, 27.09).</t>
        </is>
      </c>
      <c r="D5" s="20" t="inlineStr">
        <is>
          <t>Priced at 27.05, second class in CM 1:6 in superstructure, which is the only published superstructure wall item and matches the specified mortar.</t>
        </is>
      </c>
      <c r="E5" s="20" t="inlineStr">
        <is>
          <t>Confirmation that 27.05 is the correct billing item for class 10 bricks</t>
        </is>
      </c>
    </row>
    <row r="6" ht="20" customHeight="1">
      <c r="A6" s="16" t="inlineStr">
        <is>
          <t>WM4-V3</t>
        </is>
      </c>
      <c r="B6" s="16" t="inlineStr">
        <is>
          <t>Lintel SP-06 measures a superseded section</t>
        </is>
      </c>
      <c r="C6" s="20" t="inlineStr">
        <is>
          <t>The bill line measures 200 x 150.  Design revision SP-B2 (master A.4.8, H.12) designs lintel L1 at 190 x 150.  WM_RECONCILIATION_REGISTER section 6 already records this.</t>
        </is>
      </c>
      <c r="D6" s="20" t="inlineStr">
        <is>
          <t>WM4 prices the quantity AS MEASURED and does not re-measure it.  The difference is 0.51 against 0.4845 m3, about 5 %, or Rs 322.</t>
        </is>
      </c>
      <c r="E6" s="20" t="inlineStr">
        <is>
          <t>A re-measure, which belongs to the package that owns the quantity, not to a rating exercise</t>
        </is>
      </c>
    </row>
    <row r="7" ht="30" customHeight="1">
      <c r="A7" s="16" t="inlineStr">
        <is>
          <t>WM4-V4</t>
        </is>
      </c>
      <c r="B7" s="16" t="inlineStr">
        <is>
          <t>No district cost index or circle variation applied</t>
        </is>
      </c>
      <c r="C7" s="20" t="inlineStr">
        <is>
          <t>The SSR is a STATE schedule.  Its covering circular gives every Superintending Engineer power to vary the rates of relevant items for the geographical conditions of the district, and the General Notes say the basic material rates are a state-wide average.</t>
        </is>
      </c>
      <c r="D7" s="20" t="inlineStr">
        <is>
          <t>State rates are used exactly as published.  No index, uplift or discount is applied anywhere.</t>
        </is>
      </c>
      <c r="E7" s="20" t="inlineStr">
        <is>
          <t>The Pune circle's current variation order, if one exists</t>
        </is>
      </c>
    </row>
    <row r="8" ht="20" customHeight="1">
      <c r="A8" s="16" t="inlineStr">
        <is>
          <t>WM4-V5</t>
        </is>
      </c>
      <c r="B8" s="16" t="inlineStr">
        <is>
          <t>GST rate is not fixed by the schedule</t>
        </is>
      </c>
      <c r="C8" s="20" t="inlineStr">
        <is>
          <t>The SSR says 'separate provision for GST shall be made in recapitulation sheet' and does not state a percentage anywhere in 624 pages.</t>
        </is>
      </c>
      <c r="D8" s="20" t="inlineStr">
        <is>
          <t>18 % is used, tagged [A], as a single parameter cell in the workbook so another rate can be tested by changing one number.</t>
        </is>
      </c>
      <c r="E8" s="20" t="inlineStr">
        <is>
          <t>The applicable works-contract GST rate for this employer</t>
        </is>
      </c>
    </row>
    <row r="9" ht="30" customHeight="1">
      <c r="A9" s="16" t="inlineStr">
        <is>
          <t>WM4-V6</t>
        </is>
      </c>
      <c r="B9" s="16" t="inlineStr">
        <is>
          <t>Tanking specification substituted</t>
        </is>
      </c>
      <c r="C9" s="20" t="inlineStr">
        <is>
          <t>WP-01 is a continuous external tanking MEMBRANE.  The SSR's own below-grade items (31.12, 31.13) are rough shahabad BOX treatments, a different specification.  The nearest membrane item, 51.114, is described applied to roof and parapet.</t>
        </is>
      </c>
      <c r="D9" s="20" t="inlineStr">
        <is>
          <t>Priced at 51.114 because the MATERIAL matches — a five-layer polymeric membrane on a 90 micron HMHDPE core.  The shahabad alternative is carried in the workbook at Rs 1 286 / Rs 1 338 so the swap can be costed: it would add about Rs 400 000.</t>
        </is>
      </c>
      <c r="E9" s="20" t="inlineStr">
        <is>
          <t>A decision on which specification is being bought</t>
        </is>
      </c>
    </row>
    <row r="10" ht="40" customHeight="1">
      <c r="A10" s="16" t="inlineStr">
        <is>
          <t>WM4-V7</t>
        </is>
      </c>
      <c r="B10" s="16" t="inlineStr">
        <is>
          <t>The protective plant is outside the schedule entirely</t>
        </is>
      </c>
      <c r="C10" s="20" t="inlineStr">
        <is>
          <t>Blast doors, exit hatches, blast valves, the NBC trains, the EMP enclosure, the generator and the commissioning tests have NO SSR item.  The SSR's answer is explicit: 'The items for which rates are not included in State Schedule of Rates, the rates shall be approved by concerned Superintending Engineer, PWD.'</t>
        </is>
      </c>
      <c r="D10" s="20" t="inlineStr">
        <is>
          <t>Listed in bill section L at nil.  The owner's own bill prices them from vendor figures at about Rs 1.05 crore; those figures are NOT SSR rates and WM4 does not adopt them.</t>
        </is>
      </c>
      <c r="E10" s="20" t="inlineStr">
        <is>
          <t>Vendor quotations, and the Superintending Engineer's approval of the resulting non-schedule rates</t>
        </is>
      </c>
    </row>
  </sheetData>
  <mergeCells count="2">
    <mergeCell ref="A2:E2"/>
    <mergeCell ref="A1:E1"/>
  </mergeCells>
  <pageMargins left="0.3" right="0.3" top="0.4" bottom="0.4" header="0.5" footer="0.5"/>
  <pageSetup orientation="landscape" fitToWidth="1"/>
</worksheet>
</file>

<file path=xl/worksheets/sheet11.xml><?xml version="1.0" encoding="utf-8"?>
<worksheet xmlns="http://schemas.openxmlformats.org/spreadsheetml/2006/main">
  <sheetPr>
    <outlinePr summaryBelow="1" summaryRight="1"/>
    <pageSetUpPr/>
  </sheetPr>
  <dimension ref="A1:C21"/>
  <sheetViews>
    <sheetView showGridLines="0" workbookViewId="0">
      <pane ySplit="3" topLeftCell="A4" activePane="bottomLeft" state="frozen"/>
      <selection pane="bottomLeft" activeCell="A1" sqref="A1"/>
    </sheetView>
  </sheetViews>
  <sheetFormatPr baseColWidth="8" defaultRowHeight="15"/>
  <cols>
    <col width="12" customWidth="1" min="1" max="1"/>
    <col width="66" customWidth="1" min="2" max="2"/>
    <col width="60" customWidth="1" min="3" max="3"/>
  </cols>
  <sheetData>
    <row r="1" ht="26" customHeight="1">
      <c r="A1" s="1" t="inlineStr">
        <is>
          <t>CONSISTENCY AND VERIFICATION</t>
        </is>
      </c>
    </row>
    <row r="2" ht="22" customHeight="1">
      <c r="A2" s="2" t="inlineStr">
        <is>
          <t>Run by wm4_build.py against the generated bill every time it is built.  The quantity checks prove that splitting a WM1 line to reach two SSR items did not change the quantity.</t>
        </is>
      </c>
    </row>
    <row r="3" ht="32" customHeight="1">
      <c r="A3" s="14" t="inlineStr">
        <is>
          <t>Result</t>
        </is>
      </c>
      <c r="B3" s="14" t="inlineStr">
        <is>
          <t>Check</t>
        </is>
      </c>
      <c r="C3" s="14" t="inlineStr">
        <is>
          <t>Detail</t>
        </is>
      </c>
    </row>
    <row r="4" ht="13" customHeight="1">
      <c r="A4" s="61" t="inlineStr">
        <is>
          <t>PASS</t>
        </is>
      </c>
      <c r="B4" s="16" t="inlineStr">
        <is>
          <t>E-02 depth bands sum to the WM1 quantity</t>
        </is>
      </c>
      <c r="C4" s="20" t="inlineStr">
        <is>
          <t>1338.24 against 1338.24</t>
        </is>
      </c>
    </row>
    <row r="5" ht="13" customHeight="1">
      <c r="A5" s="61" t="inlineStr">
        <is>
          <t>PASS</t>
        </is>
      </c>
      <c r="B5" s="16" t="inlineStr">
        <is>
          <t>soil bands sum to WM1 E-02a</t>
        </is>
      </c>
      <c r="C5" s="20" t="inlineStr">
        <is>
          <t>344.40 against 344.4</t>
        </is>
      </c>
    </row>
    <row r="6" ht="13" customHeight="1">
      <c r="A6" s="61" t="inlineStr">
        <is>
          <t>PASS</t>
        </is>
      </c>
      <c r="B6" s="16" t="inlineStr">
        <is>
          <t>rock bands sum to WM1 E-02b</t>
        </is>
      </c>
      <c r="C6" s="20" t="inlineStr">
        <is>
          <t>993.84 against 993.84</t>
        </is>
      </c>
    </row>
    <row r="7" ht="13" customHeight="1">
      <c r="A7" s="61" t="inlineStr">
        <is>
          <t>PASS</t>
        </is>
      </c>
      <c r="B7" s="16" t="inlineStr">
        <is>
          <t>E-05 bands sum to the WM1 quantity</t>
        </is>
      </c>
      <c r="C7" s="20" t="inlineStr">
        <is>
          <t>37.044 against 37.044</t>
        </is>
      </c>
    </row>
    <row r="8" ht="13" customHeight="1">
      <c r="A8" s="61" t="inlineStr">
        <is>
          <t>PASS</t>
        </is>
      </c>
      <c r="B8" s="16" t="inlineStr">
        <is>
          <t>C-06 split sums to the WM1 quantity</t>
        </is>
      </c>
      <c r="C8" s="20" t="inlineStr">
        <is>
          <t>32.70 against 32.7</t>
        </is>
      </c>
    </row>
    <row r="9" ht="13" customHeight="1">
      <c r="A9" s="61" t="inlineStr">
        <is>
          <t>PASS</t>
        </is>
      </c>
      <c r="B9" s="16" t="inlineStr">
        <is>
          <t>SC-04 split sums to the WM1 quantity</t>
        </is>
      </c>
      <c r="C9" s="20" t="inlineStr">
        <is>
          <t>2.28 against 2.28</t>
        </is>
      </c>
    </row>
    <row r="10" ht="13" customHeight="1">
      <c r="A10" s="61" t="inlineStr">
        <is>
          <t>PASS</t>
        </is>
      </c>
      <c r="B10" s="16" t="inlineStr">
        <is>
          <t>SP-10 split sums to the WM1 quantity</t>
        </is>
      </c>
      <c r="C10" s="20" t="inlineStr">
        <is>
          <t>222.54 against 222.54</t>
        </is>
      </c>
    </row>
    <row r="11" ht="13" customHeight="1">
      <c r="A11" s="61" t="inlineStr">
        <is>
          <t>PASS</t>
        </is>
      </c>
      <c r="B11" s="16" t="inlineStr">
        <is>
          <t>reinforcement net = order / 1.05</t>
        </is>
      </c>
      <c r="C11" s="20" t="inlineStr">
        <is>
          <t>73.647 against 73.648</t>
        </is>
      </c>
    </row>
    <row r="12" ht="13" customHeight="1">
      <c r="A12" s="61" t="inlineStr">
        <is>
          <t>PASS</t>
        </is>
      </c>
      <c r="B12" s="16" t="inlineStr">
        <is>
          <t>W-05 and B-screed are the same work, paid once</t>
        </is>
      </c>
      <c r="C12" s="20" t="inlineStr">
        <is>
          <t>102.889 x 0.100 = 10.2889</t>
        </is>
      </c>
    </row>
    <row r="13" ht="13" customHeight="1">
      <c r="A13" s="61" t="inlineStr">
        <is>
          <t>PASS</t>
        </is>
      </c>
      <c r="B13" s="16" t="inlineStr">
        <is>
          <t>grade uplift M20-&gt;M25 reproduces the SSR step</t>
        </is>
      </c>
      <c r="C13" s="20" t="inlineStr">
        <is>
          <t>183.32 against the SSR's 183</t>
        </is>
      </c>
    </row>
    <row r="14" ht="13" customHeight="1">
      <c r="A14" s="61" t="inlineStr">
        <is>
          <t>PASS</t>
        </is>
      </c>
      <c r="B14" s="16" t="inlineStr">
        <is>
          <t>grade uplift M25-&gt;M30 reproduces the SSR step</t>
        </is>
      </c>
      <c r="C14" s="20" t="inlineStr">
        <is>
          <t>183.32 against the SSR's 183</t>
        </is>
      </c>
    </row>
    <row r="15" ht="13" customHeight="1">
      <c r="A15" s="61" t="inlineStr">
        <is>
          <t>PASS</t>
        </is>
      </c>
      <c r="B15" s="16" t="inlineStr">
        <is>
          <t>grade uplift M30-&gt;M35 reproduces the SSR step</t>
        </is>
      </c>
      <c r="C15" s="20" t="inlineStr">
        <is>
          <t>91.66 against the SSR's 92</t>
        </is>
      </c>
    </row>
    <row r="16" ht="13" customHeight="1">
      <c r="A16" s="61" t="inlineStr">
        <is>
          <t>PASS</t>
        </is>
      </c>
      <c r="B16" s="16" t="inlineStr">
        <is>
          <t>no bill line carries both a rate and 'included'</t>
        </is>
      </c>
      <c r="C16" s="20" t="inlineStr"/>
    </row>
    <row r="17" ht="13" customHeight="1">
      <c r="A17" s="61" t="inlineStr">
        <is>
          <t>PASS</t>
        </is>
      </c>
      <c r="B17" s="16" t="inlineStr">
        <is>
          <t>every NOT PRICED line carries no amount</t>
        </is>
      </c>
      <c r="C17" s="20" t="inlineStr"/>
    </row>
    <row r="18" ht="13" customHeight="1">
      <c r="A18" s="61" t="inlineStr">
        <is>
          <t>PASS</t>
        </is>
      </c>
      <c r="B18" s="16" t="inlineStr">
        <is>
          <t>every PRICED line carries a rate and an amount</t>
        </is>
      </c>
      <c r="C18" s="20" t="inlineStr"/>
    </row>
    <row r="19" ht="13" customHeight="1">
      <c r="A19" s="61" t="inlineStr">
        <is>
          <t>PASS</t>
        </is>
      </c>
      <c r="B19" s="16" t="inlineStr">
        <is>
          <t>every rate used is in the SSR library or is a derived rate</t>
        </is>
      </c>
      <c r="C19" s="20" t="inlineStr"/>
    </row>
    <row r="20" ht="13" customHeight="1">
      <c r="A20" s="61" t="inlineStr">
        <is>
          <t>PASS</t>
        </is>
      </c>
      <c r="B20" s="16" t="inlineStr">
        <is>
          <t>overhead, profit and labour cess are NOT added again</t>
        </is>
      </c>
      <c r="C20" s="20" t="inlineStr"/>
    </row>
    <row r="21" ht="13" customHeight="1">
      <c r="A21" s="61" t="inlineStr">
        <is>
          <t>PASS</t>
        </is>
      </c>
      <c r="B21" s="16" t="inlineStr">
        <is>
          <t>MAIN STAIRCASE QUANTITY UNCHANGED (frozen geometry)</t>
        </is>
      </c>
      <c r="C21" s="20" t="inlineStr">
        <is>
          <t>3.00 m3, as WM1</t>
        </is>
      </c>
    </row>
  </sheetData>
  <mergeCells count="2">
    <mergeCell ref="A1:C1"/>
    <mergeCell ref="A2:C2"/>
  </mergeCells>
  <pageMargins left="0.3" right="0.3" top="0.4" bottom="0.4"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2026-09-15T18:31:54Z</dcterms:created>
  <dcterms:modified xsi:type="dcterms:W3CDTF">2026-09-15T18:31:54Z</dcterms:modified>
</cp:coreProperties>
</file>